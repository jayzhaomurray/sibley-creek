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24" customWidth="1" min="5" max="5"/>
    <col width="12" customWidth="1" min="6" max="6"/>
    <col width="22" customWidth="1" min="7" max="7"/>
  </cols>
  <sheetData>
    <row r="1">
      <c r="A1" s="1" t="inlineStr">
        <is>
          <t>year</t>
        </is>
      </c>
      <c r="B1" s="1" t="inlineStr">
        <is>
          <t>home_price_nominal</t>
        </is>
      </c>
      <c r="C1" s="1" t="inlineStr">
        <is>
          <t>home_price_real_2024</t>
        </is>
      </c>
      <c r="D1" s="1" t="inlineStr">
        <is>
          <t>median_income_nominal</t>
        </is>
      </c>
      <c r="E1" s="1" t="inlineStr">
        <is>
          <t>median_income_real_2024</t>
        </is>
      </c>
      <c r="F1" s="1" t="inlineStr">
        <is>
          <t>cpi_index</t>
        </is>
      </c>
      <c r="G1" s="1" t="inlineStr">
        <is>
          <t>price_to_income_ratio</t>
        </is>
      </c>
    </row>
    <row r="2">
      <c r="A2" t="n">
        <v>1976</v>
      </c>
      <c r="D2" s="2" t="n">
        <v>14323</v>
      </c>
      <c r="E2" s="2" t="n">
        <v>74000</v>
      </c>
      <c r="F2" s="3" t="n">
        <v>31.13</v>
      </c>
      <c r="G2" s="3" t="n"/>
    </row>
    <row r="3">
      <c r="A3" t="n">
        <v>1977</v>
      </c>
      <c r="D3" s="2" t="n">
        <v>15570</v>
      </c>
      <c r="E3" s="2" t="n">
        <v>74500</v>
      </c>
      <c r="F3" s="3" t="n">
        <v>33.62</v>
      </c>
      <c r="G3" s="3" t="n"/>
    </row>
    <row r="4">
      <c r="A4" t="n">
        <v>1978</v>
      </c>
      <c r="D4" s="2" t="n">
        <v>17013</v>
      </c>
      <c r="E4" s="2" t="n">
        <v>74700</v>
      </c>
      <c r="F4" s="3" t="n">
        <v>36.63</v>
      </c>
      <c r="G4" s="3" t="n"/>
    </row>
    <row r="5">
      <c r="A5" t="n">
        <v>1979</v>
      </c>
      <c r="D5" s="2" t="n">
        <v>18494</v>
      </c>
      <c r="E5" s="2" t="n">
        <v>74400</v>
      </c>
      <c r="F5" s="3" t="n">
        <v>39.98</v>
      </c>
      <c r="G5" s="3" t="n"/>
    </row>
    <row r="6">
      <c r="A6" t="n">
        <v>1980</v>
      </c>
      <c r="D6" s="2" t="n">
        <v>20942</v>
      </c>
      <c r="E6" s="2" t="n">
        <v>76500</v>
      </c>
      <c r="F6" s="3" t="n">
        <v>44.03</v>
      </c>
      <c r="G6" s="3" t="n"/>
    </row>
    <row r="7">
      <c r="A7" t="n">
        <v>1981</v>
      </c>
      <c r="D7" s="2" t="n">
        <v>22969</v>
      </c>
      <c r="E7" s="2" t="n">
        <v>74600</v>
      </c>
      <c r="F7" s="3" t="n">
        <v>49.52</v>
      </c>
      <c r="G7" s="3" t="n"/>
    </row>
    <row r="8">
      <c r="A8" t="n">
        <v>1982</v>
      </c>
      <c r="D8" s="2" t="n">
        <v>24522</v>
      </c>
      <c r="E8" s="2" t="n">
        <v>71900</v>
      </c>
      <c r="F8" s="3" t="n">
        <v>54.86</v>
      </c>
      <c r="G8" s="3" t="n"/>
    </row>
    <row r="9">
      <c r="A9" t="n">
        <v>1983</v>
      </c>
      <c r="D9" s="2" t="n">
        <v>24985</v>
      </c>
      <c r="E9" s="2" t="n">
        <v>69200</v>
      </c>
      <c r="F9" s="3" t="n">
        <v>58.07</v>
      </c>
      <c r="G9" s="3" t="n"/>
    </row>
    <row r="10">
      <c r="A10" t="n">
        <v>1984</v>
      </c>
      <c r="D10" s="2" t="n">
        <v>26249</v>
      </c>
      <c r="E10" s="2" t="n">
        <v>69700</v>
      </c>
      <c r="F10" s="3" t="n">
        <v>60.57</v>
      </c>
      <c r="G10" s="3" t="n"/>
    </row>
    <row r="11">
      <c r="A11" t="n">
        <v>1985</v>
      </c>
      <c r="D11" s="2" t="n">
        <v>27680</v>
      </c>
      <c r="E11" s="2" t="n">
        <v>70700</v>
      </c>
      <c r="F11" s="3" t="n">
        <v>62.98</v>
      </c>
      <c r="G11" s="3" t="n"/>
    </row>
    <row r="12">
      <c r="A12" t="n">
        <v>1986</v>
      </c>
      <c r="D12" s="2" t="n">
        <v>29208</v>
      </c>
      <c r="E12" s="2" t="n">
        <v>71600</v>
      </c>
      <c r="F12" s="3" t="n">
        <v>65.62</v>
      </c>
      <c r="G12" s="3" t="n"/>
    </row>
    <row r="13">
      <c r="A13" t="n">
        <v>1987</v>
      </c>
      <c r="D13" s="2" t="n">
        <v>30481</v>
      </c>
      <c r="E13" s="2" t="n">
        <v>71600</v>
      </c>
      <c r="F13" s="3" t="n">
        <v>68.48</v>
      </c>
      <c r="G13" s="3" t="n"/>
    </row>
    <row r="14">
      <c r="A14" t="n">
        <v>1988</v>
      </c>
      <c r="D14" s="2" t="n">
        <v>32284</v>
      </c>
      <c r="E14" s="2" t="n">
        <v>72900</v>
      </c>
      <c r="F14" s="3" t="n">
        <v>71.23</v>
      </c>
      <c r="G14" s="3" t="n"/>
    </row>
    <row r="15">
      <c r="A15" t="n">
        <v>1989</v>
      </c>
      <c r="D15" s="2" t="n">
        <v>35009</v>
      </c>
      <c r="E15" s="2" t="n">
        <v>75300</v>
      </c>
      <c r="F15" s="3" t="n">
        <v>74.78</v>
      </c>
      <c r="G15" s="3" t="n"/>
    </row>
    <row r="16">
      <c r="A16" t="n">
        <v>1990</v>
      </c>
      <c r="D16" s="2" t="n">
        <v>34977</v>
      </c>
      <c r="E16" s="2" t="n">
        <v>71800</v>
      </c>
      <c r="F16" s="3" t="n">
        <v>78.36</v>
      </c>
      <c r="G16" s="3" t="n"/>
    </row>
    <row r="17">
      <c r="A17" t="n">
        <v>1991</v>
      </c>
      <c r="D17" s="2" t="n">
        <v>34887</v>
      </c>
      <c r="E17" s="2" t="n">
        <v>67800</v>
      </c>
      <c r="F17" s="3" t="n">
        <v>82.77</v>
      </c>
      <c r="G17" s="3" t="n"/>
    </row>
    <row r="18">
      <c r="A18" t="n">
        <v>1992</v>
      </c>
      <c r="D18" s="2" t="n">
        <v>35302</v>
      </c>
      <c r="E18" s="2" t="n">
        <v>67600</v>
      </c>
      <c r="F18" s="3" t="n">
        <v>84</v>
      </c>
      <c r="G18" s="3" t="n"/>
    </row>
    <row r="19">
      <c r="A19" t="n">
        <v>1993</v>
      </c>
      <c r="D19" s="2" t="n">
        <v>35110</v>
      </c>
      <c r="E19" s="2" t="n">
        <v>66000</v>
      </c>
      <c r="F19" s="3" t="n">
        <v>85.56999999999999</v>
      </c>
      <c r="G19" s="3" t="n"/>
    </row>
    <row r="20">
      <c r="A20" t="n">
        <v>1994</v>
      </c>
      <c r="D20" s="2" t="n">
        <v>35488</v>
      </c>
      <c r="E20" s="2" t="n">
        <v>66600</v>
      </c>
      <c r="F20" s="3" t="n">
        <v>85.70999999999999</v>
      </c>
      <c r="G20" s="3" t="n"/>
    </row>
    <row r="21">
      <c r="A21" t="n">
        <v>1995</v>
      </c>
      <c r="D21" s="2" t="n">
        <v>36250</v>
      </c>
      <c r="E21" s="2" t="n">
        <v>66600</v>
      </c>
      <c r="F21" s="3" t="n">
        <v>87.55</v>
      </c>
      <c r="G21" s="3" t="n"/>
    </row>
    <row r="22">
      <c r="A22" t="n">
        <v>1996</v>
      </c>
      <c r="D22" s="2" t="n">
        <v>36211</v>
      </c>
      <c r="E22" s="2" t="n">
        <v>65500</v>
      </c>
      <c r="F22" s="3" t="n">
        <v>88.92</v>
      </c>
      <c r="G22" s="3" t="n"/>
    </row>
    <row r="23">
      <c r="A23" t="n">
        <v>1997</v>
      </c>
      <c r="D23" s="2" t="n">
        <v>36686</v>
      </c>
      <c r="E23" s="2" t="n">
        <v>65300</v>
      </c>
      <c r="F23" s="3" t="n">
        <v>90.37</v>
      </c>
      <c r="G23" s="3" t="n"/>
    </row>
    <row r="24">
      <c r="A24" t="n">
        <v>1998</v>
      </c>
      <c r="D24" s="2" t="n">
        <v>38186</v>
      </c>
      <c r="E24" s="2" t="n">
        <v>67300</v>
      </c>
      <c r="F24" s="3" t="n">
        <v>91.27</v>
      </c>
      <c r="G24" s="3" t="n"/>
    </row>
    <row r="25">
      <c r="A25" t="n">
        <v>1999</v>
      </c>
      <c r="D25" s="2" t="n">
        <v>40003</v>
      </c>
      <c r="E25" s="2" t="n">
        <v>69300</v>
      </c>
      <c r="F25" s="3" t="n">
        <v>92.84999999999999</v>
      </c>
      <c r="G25" s="3" t="n"/>
    </row>
    <row r="26">
      <c r="A26" t="n">
        <v>2000</v>
      </c>
      <c r="D26" s="2" t="n">
        <v>41684</v>
      </c>
      <c r="E26" s="2" t="n">
        <v>70300</v>
      </c>
      <c r="F26" s="3" t="n">
        <v>95.38</v>
      </c>
      <c r="G26" s="3" t="n"/>
    </row>
    <row r="27">
      <c r="A27" t="n">
        <v>2001</v>
      </c>
      <c r="D27" s="2" t="n">
        <v>43709</v>
      </c>
      <c r="E27" s="2" t="n">
        <v>71900</v>
      </c>
      <c r="F27" s="3" t="n">
        <v>97.78</v>
      </c>
      <c r="G27" s="3" t="n"/>
    </row>
    <row r="28">
      <c r="A28" t="n">
        <v>2002</v>
      </c>
      <c r="D28" s="2" t="n">
        <v>44448</v>
      </c>
      <c r="E28" s="2" t="n">
        <v>71500</v>
      </c>
      <c r="F28" s="3" t="n">
        <v>99.98999999999999</v>
      </c>
      <c r="G28" s="3" t="n"/>
    </row>
    <row r="29">
      <c r="A29" t="n">
        <v>2003</v>
      </c>
      <c r="D29" s="2" t="n">
        <v>45610</v>
      </c>
      <c r="E29" s="2" t="n">
        <v>71400</v>
      </c>
      <c r="F29" s="3" t="n">
        <v>102.75</v>
      </c>
      <c r="G29" s="3" t="n"/>
    </row>
    <row r="30">
      <c r="A30" t="n">
        <v>2004</v>
      </c>
      <c r="D30" s="2" t="n">
        <v>47108</v>
      </c>
      <c r="E30" s="2" t="n">
        <v>72400</v>
      </c>
      <c r="F30" s="3" t="n">
        <v>104.66</v>
      </c>
      <c r="G30" s="3" t="n"/>
    </row>
    <row r="31">
      <c r="A31" t="n">
        <v>2005</v>
      </c>
      <c r="B31" s="2" t="n">
        <v>243600</v>
      </c>
      <c r="C31" s="2" t="n">
        <v>366282</v>
      </c>
      <c r="D31" s="2" t="n">
        <v>48815</v>
      </c>
      <c r="E31" s="2" t="n">
        <v>73400</v>
      </c>
      <c r="F31" s="3" t="n">
        <v>106.98</v>
      </c>
      <c r="G31" s="3" t="n">
        <v>4.99</v>
      </c>
    </row>
    <row r="32">
      <c r="A32" t="n">
        <v>2006</v>
      </c>
      <c r="B32" s="2" t="n">
        <v>271700</v>
      </c>
      <c r="C32" s="2" t="n">
        <v>400516</v>
      </c>
      <c r="D32" s="2" t="n">
        <v>51014</v>
      </c>
      <c r="E32" s="2" t="n">
        <v>75200</v>
      </c>
      <c r="F32" s="3" t="n">
        <v>109.12</v>
      </c>
      <c r="G32" s="3" t="n">
        <v>5.33</v>
      </c>
    </row>
    <row r="33">
      <c r="A33" t="n">
        <v>2007</v>
      </c>
      <c r="B33" s="2" t="n">
        <v>301200</v>
      </c>
      <c r="C33" s="2" t="n">
        <v>434706</v>
      </c>
      <c r="D33" s="2" t="n">
        <v>53075</v>
      </c>
      <c r="E33" s="2" t="n">
        <v>76600</v>
      </c>
      <c r="F33" s="3" t="n">
        <v>111.45</v>
      </c>
      <c r="G33" s="3" t="n">
        <v>5.68</v>
      </c>
    </row>
    <row r="34">
      <c r="A34" t="n">
        <v>2008</v>
      </c>
      <c r="B34" s="2" t="n">
        <v>310600</v>
      </c>
      <c r="C34" s="2" t="n">
        <v>437894</v>
      </c>
      <c r="D34" s="2" t="n">
        <v>55042</v>
      </c>
      <c r="E34" s="2" t="n">
        <v>77600</v>
      </c>
      <c r="F34" s="3" t="n">
        <v>114.09</v>
      </c>
      <c r="G34" s="3" t="n">
        <v>5.64</v>
      </c>
    </row>
    <row r="35">
      <c r="A35" t="n">
        <v>2009</v>
      </c>
      <c r="B35" s="2" t="n">
        <v>300300</v>
      </c>
      <c r="C35" s="2" t="n">
        <v>422108</v>
      </c>
      <c r="D35" s="2" t="n">
        <v>54211</v>
      </c>
      <c r="E35" s="2" t="n">
        <v>76200</v>
      </c>
      <c r="F35" s="3" t="n">
        <v>114.43</v>
      </c>
      <c r="G35" s="3" t="n">
        <v>5.54</v>
      </c>
    </row>
    <row r="36">
      <c r="A36" t="n">
        <v>2010</v>
      </c>
      <c r="B36" s="2" t="n">
        <v>325700</v>
      </c>
      <c r="C36" s="2" t="n">
        <v>449818</v>
      </c>
      <c r="D36" s="2" t="n">
        <v>54885</v>
      </c>
      <c r="E36" s="2" t="n">
        <v>75800</v>
      </c>
      <c r="F36" s="3" t="n">
        <v>116.47</v>
      </c>
      <c r="G36" s="3" t="n">
        <v>5.93</v>
      </c>
    </row>
    <row r="37">
      <c r="A37" t="n">
        <v>2011</v>
      </c>
      <c r="B37" s="2" t="n">
        <v>343600</v>
      </c>
      <c r="C37" s="2" t="n">
        <v>461112</v>
      </c>
      <c r="D37" s="2" t="n">
        <v>56408</v>
      </c>
      <c r="E37" s="2" t="n">
        <v>75700</v>
      </c>
      <c r="F37" s="3" t="n">
        <v>119.86</v>
      </c>
      <c r="G37" s="3" t="n">
        <v>6.09</v>
      </c>
    </row>
    <row r="38">
      <c r="A38" t="n">
        <v>2012</v>
      </c>
      <c r="B38" s="2" t="n">
        <v>360300</v>
      </c>
      <c r="C38" s="2" t="n">
        <v>476304</v>
      </c>
      <c r="D38" s="2" t="n">
        <v>58927</v>
      </c>
      <c r="E38" s="2" t="n">
        <v>77900</v>
      </c>
      <c r="F38" s="3" t="n">
        <v>121.67</v>
      </c>
      <c r="G38" s="3" t="n">
        <v>6.11</v>
      </c>
    </row>
    <row r="39">
      <c r="A39" t="n">
        <v>2013</v>
      </c>
      <c r="B39" s="2" t="n">
        <v>367200</v>
      </c>
      <c r="C39" s="2" t="n">
        <v>480913</v>
      </c>
      <c r="D39" s="2" t="n">
        <v>59862</v>
      </c>
      <c r="E39" s="2" t="n">
        <v>78400</v>
      </c>
      <c r="F39" s="3" t="n">
        <v>122.82</v>
      </c>
      <c r="G39" s="3" t="n">
        <v>6.13</v>
      </c>
    </row>
    <row r="40">
      <c r="A40" t="n">
        <v>2014</v>
      </c>
      <c r="B40" s="2" t="n">
        <v>387300</v>
      </c>
      <c r="C40" s="2" t="n">
        <v>497747</v>
      </c>
      <c r="D40" s="2" t="n">
        <v>62949</v>
      </c>
      <c r="E40" s="2" t="n">
        <v>80900</v>
      </c>
      <c r="F40" s="3" t="n">
        <v>125.16</v>
      </c>
      <c r="G40" s="3" t="n">
        <v>6.15</v>
      </c>
    </row>
    <row r="41">
      <c r="A41" t="n">
        <v>2015</v>
      </c>
      <c r="B41" s="2" t="n">
        <v>417700</v>
      </c>
      <c r="C41" s="2" t="n">
        <v>530843</v>
      </c>
      <c r="D41" s="2" t="n">
        <v>63264</v>
      </c>
      <c r="E41" s="2" t="n">
        <v>80400</v>
      </c>
      <c r="F41" s="3" t="n">
        <v>126.57</v>
      </c>
      <c r="G41" s="3" t="n">
        <v>6.6</v>
      </c>
    </row>
    <row r="42">
      <c r="A42" t="n">
        <v>2016</v>
      </c>
      <c r="B42" s="2" t="n">
        <v>480300</v>
      </c>
      <c r="C42" s="2" t="n">
        <v>601801</v>
      </c>
      <c r="D42" s="2" t="n">
        <v>63449</v>
      </c>
      <c r="E42" s="2" t="n">
        <v>79500</v>
      </c>
      <c r="F42" s="3" t="n">
        <v>128.38</v>
      </c>
      <c r="G42" s="3" t="n">
        <v>7.57</v>
      </c>
    </row>
    <row r="43">
      <c r="A43" t="n">
        <v>2017</v>
      </c>
      <c r="B43" s="2" t="n">
        <v>537900</v>
      </c>
      <c r="C43" s="2" t="n">
        <v>663379</v>
      </c>
      <c r="D43" s="2" t="n">
        <v>66409</v>
      </c>
      <c r="E43" s="2" t="n">
        <v>81900</v>
      </c>
      <c r="F43" s="3" t="n">
        <v>130.43</v>
      </c>
      <c r="G43" s="3" t="n">
        <v>8.1</v>
      </c>
    </row>
    <row r="44">
      <c r="A44" t="n">
        <v>2018</v>
      </c>
      <c r="B44" s="2" t="n">
        <v>530600</v>
      </c>
      <c r="C44" s="2" t="n">
        <v>639863</v>
      </c>
      <c r="D44" s="2" t="n">
        <v>68164</v>
      </c>
      <c r="E44" s="2" t="n">
        <v>82200</v>
      </c>
      <c r="F44" s="3" t="n">
        <v>133.38</v>
      </c>
      <c r="G44" s="3" t="n">
        <v>7.78</v>
      </c>
    </row>
    <row r="45">
      <c r="A45" t="n">
        <v>2019</v>
      </c>
      <c r="B45" s="2" t="n">
        <v>517900</v>
      </c>
      <c r="C45" s="2" t="n">
        <v>612606</v>
      </c>
      <c r="D45" s="2" t="n">
        <v>69239</v>
      </c>
      <c r="E45" s="2" t="n">
        <v>81900</v>
      </c>
      <c r="F45" s="3" t="n">
        <v>135.98</v>
      </c>
      <c r="G45" s="3" t="n">
        <v>7.48</v>
      </c>
    </row>
    <row r="46">
      <c r="A46" t="n">
        <v>2020</v>
      </c>
      <c r="B46" s="2" t="n">
        <v>558600</v>
      </c>
      <c r="C46" s="2" t="n">
        <v>656045</v>
      </c>
      <c r="D46" s="2" t="n">
        <v>74333</v>
      </c>
      <c r="E46" s="2" t="n">
        <v>87300</v>
      </c>
      <c r="F46" s="3" t="n">
        <v>136.96</v>
      </c>
      <c r="G46" s="3" t="n">
        <v>7.51</v>
      </c>
    </row>
    <row r="47">
      <c r="A47" t="n">
        <v>2021</v>
      </c>
      <c r="B47" s="2" t="n">
        <v>688100</v>
      </c>
      <c r="C47" s="2" t="n">
        <v>781599</v>
      </c>
      <c r="D47" s="2" t="n">
        <v>77121</v>
      </c>
      <c r="E47" s="2" t="n">
        <v>87600</v>
      </c>
      <c r="F47" s="3" t="n">
        <v>141.61</v>
      </c>
      <c r="G47" s="3" t="n">
        <v>8.92</v>
      </c>
    </row>
    <row r="48">
      <c r="A48" t="n">
        <v>2022</v>
      </c>
      <c r="B48" s="2" t="n">
        <v>779300</v>
      </c>
      <c r="C48" s="2" t="n">
        <v>828809</v>
      </c>
      <c r="D48" s="2" t="n">
        <v>79358</v>
      </c>
      <c r="E48" s="2" t="n">
        <v>84400</v>
      </c>
      <c r="F48" s="3" t="n">
        <v>151.24</v>
      </c>
      <c r="G48" s="3" t="n">
        <v>9.82</v>
      </c>
    </row>
    <row r="49">
      <c r="A49" t="n">
        <v>2023</v>
      </c>
      <c r="B49" s="2" t="n">
        <v>720500</v>
      </c>
      <c r="C49" s="2" t="n">
        <v>737659</v>
      </c>
      <c r="D49" s="2" t="n">
        <v>83511</v>
      </c>
      <c r="E49" s="2" t="n">
        <v>85500</v>
      </c>
      <c r="F49" s="3" t="n">
        <v>157.11</v>
      </c>
      <c r="G49" s="3" t="n">
        <v>8.630000000000001</v>
      </c>
    </row>
    <row r="50">
      <c r="A50" t="n">
        <v>2024</v>
      </c>
      <c r="B50" s="2" t="n">
        <v>703900</v>
      </c>
      <c r="C50" s="2" t="n">
        <v>703900</v>
      </c>
      <c r="D50" s="2" t="n">
        <v>86000</v>
      </c>
      <c r="E50" s="2" t="n">
        <v>86000</v>
      </c>
      <c r="F50" s="3" t="n">
        <v>160.85</v>
      </c>
      <c r="G50" s="3" t="n">
        <v>8.18</v>
      </c>
    </row>
    <row r="51">
      <c r="A51" t="n">
        <v>2025</v>
      </c>
      <c r="B51" s="2" t="n">
        <v>685100</v>
      </c>
      <c r="C51" s="2" t="n">
        <v>671191</v>
      </c>
      <c r="F51" s="3" t="n">
        <v>164.18</v>
      </c>
      <c r="G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Title</t>
        </is>
      </c>
      <c r="B2" t="inlineStr">
        <is>
          <t>Canada Home Price-to-Income Ratio, 1976-2025</t>
        </is>
      </c>
    </row>
    <row r="3">
      <c r="A3" t="inlineStr">
        <is>
          <t>Prepared by</t>
        </is>
      </c>
      <c r="B3" t="inlineStr">
        <is>
          <t>Jay Zhao-Murray / Sibley Creek</t>
        </is>
      </c>
    </row>
    <row r="4">
      <c r="A4" t="inlineStr">
        <is>
          <t>Prepared date</t>
        </is>
      </c>
      <c r="B4" t="inlineStr">
        <is>
          <t>2026-05-25</t>
        </is>
      </c>
    </row>
    <row r="5">
      <c r="A5" t="inlineStr"/>
    </row>
    <row r="6">
      <c r="A6">
        <f>= SERIES ==</f>
        <v/>
      </c>
    </row>
    <row r="7">
      <c r="A7" t="inlineStr">
        <is>
          <t>home_price_nominal</t>
        </is>
      </c>
      <c r="B7" t="inlineStr">
        <is>
          <t>CREA MLS HPI Composite Benchmark, national aggregate, NOT seasonally adjusted annual. Nominal Canadian dollars. Source: CREA MLS HPI, Not Seasonally Adjusted (A).xlsx, AGGREGATE sheet.</t>
        </is>
      </c>
    </row>
    <row r="8">
      <c r="A8" t="inlineStr">
        <is>
          <t>home_price_real_2024</t>
        </is>
      </c>
      <c r="B8" t="inlineStr">
        <is>
          <t>CREA Composite Benchmark deflated to 2024 constant dollars. Formula: home_price_nominal * (CPI_2024 / CPI_year). Available 2005-2025 (CREA HPI coverage).</t>
        </is>
      </c>
    </row>
    <row r="9">
      <c r="A9" t="inlineStr">
        <is>
          <t>median_income_nominal</t>
        </is>
      </c>
      <c r="B9" t="inlineStr">
        <is>
          <t>Derived: median_income_real_2024 / deflator. StatCan 11-10-0190-01 publishes only in 2024 constant dollars; nominal is back-derived for symmetry.</t>
        </is>
      </c>
    </row>
    <row r="10">
      <c r="A10" t="inlineStr">
        <is>
          <t>median_income_real_2024</t>
        </is>
      </c>
      <c r="B10" t="inlineStr">
        <is>
          <t>Median total income, Economic families and persons not in an economic family, Canada, 2024 constant dollars. Source: StatCan Table 11-10-0190-01, 1976-2024.</t>
        </is>
      </c>
    </row>
    <row r="11">
      <c r="A11" t="inlineStr">
        <is>
          <t>cpi_index</t>
        </is>
      </c>
      <c r="B11" t="inlineStr">
        <is>
          <t>All-items CPI, Canada, not seasonally adjusted, annual average of monthly NSA values. Index base: 2002=100. Source: StatCan Table 18-10-0004-01, vector 41690973. Fetched via StatCan WDS API 2026-05-25.</t>
        </is>
      </c>
    </row>
    <row r="12">
      <c r="A12" t="inlineStr">
        <is>
          <t>price_to_income_ratio</t>
        </is>
      </c>
      <c r="B12" t="inlineStr">
        <is>
          <t>home_price_real_2024 / median_income_real_2024. Using real/real is equivalent to nominal/nominal; real is documented here to keep the deflator transparent. Available 2005-2024 (overlap of both series).</t>
        </is>
      </c>
    </row>
    <row r="13">
      <c r="A13" t="inlineStr"/>
    </row>
    <row r="14">
      <c r="A14">
        <f>= DEFLATOR ==</f>
        <v/>
      </c>
    </row>
    <row r="15">
      <c r="A15" t="inlineStr">
        <is>
          <t>Method</t>
        </is>
      </c>
      <c r="B15" t="inlineStr">
        <is>
          <t>deflator[year] = CPI_2024 / CPI[year]. Applied to convert CREA nominal prices to 2024 real. Income series is published directly in 2024 constant dollars by StatCan.</t>
        </is>
      </c>
    </row>
    <row r="16">
      <c r="A16" t="inlineStr">
        <is>
          <t>CPI base year</t>
        </is>
      </c>
      <c r="B16" t="inlineStr">
        <is>
          <t>2024 (annual average of monthly NSA CPI)</t>
        </is>
      </c>
    </row>
    <row r="17">
      <c r="A17" t="inlineStr"/>
    </row>
    <row r="18">
      <c r="A18">
        <f>= PRIMARY SOURCES ==</f>
        <v/>
      </c>
    </row>
    <row r="19">
      <c r="A19" t="inlineStr">
        <is>
          <t>StatCan 11-10-0190-01</t>
        </is>
      </c>
      <c r="B19" t="inlineStr">
        <is>
          <t>https://www150.statcan.gc.ca/t1/tbl1/en/tv.action?pid=1110019001</t>
        </is>
      </c>
    </row>
    <row r="20">
      <c r="A20" t="inlineStr">
        <is>
          <t>StatCan 18-10-0004-01</t>
        </is>
      </c>
      <c r="B20" t="inlineStr">
        <is>
          <t>https://www150.statcan.gc.ca/t1/tbl1/en/tv.action?pid=1810000401</t>
        </is>
      </c>
    </row>
    <row r="21">
      <c r="A21" t="inlineStr">
        <is>
          <t>CREA MLS HPI</t>
        </is>
      </c>
      <c r="B21" t="inlineStr">
        <is>
          <t>https://www.crea.ca/housing-market-stats/mls-home-price-index/hpi-tool/</t>
        </is>
      </c>
    </row>
    <row r="22">
      <c r="A22" t="inlineStr"/>
    </row>
    <row r="23">
      <c r="A23">
        <f>= NOTES ==</f>
        <v/>
      </c>
    </row>
    <row r="24">
      <c r="A24" t="inlineStr">
        <is>
          <t>Income coverage</t>
        </is>
      </c>
      <c r="B24" t="inlineStr">
        <is>
          <t>1976-2024 (StatCan T11-10-0190 vintage as of 2026-05-25)</t>
        </is>
      </c>
    </row>
    <row r="25">
      <c r="A25" t="inlineStr">
        <is>
          <t>CREA coverage</t>
        </is>
      </c>
      <c r="B25" t="inlineStr">
        <is>
          <t>2005-2025 (HPI launched 2005; MLS HPI benchmark series)</t>
        </is>
      </c>
    </row>
    <row r="26">
      <c r="A26" t="inlineStr">
        <is>
          <t>CPI coverage</t>
        </is>
      </c>
      <c r="B26" t="inlineStr">
        <is>
          <t>Annual averages computed from monthly NSA; 2025 is partial-year estimate excluded (only full calendar years used for deflator). CPI release date per WDS: 2026-05-19</t>
        </is>
      </c>
    </row>
    <row r="27">
      <c r="A27" t="inlineStr">
        <is>
          <t>Constant dollar caveat</t>
        </is>
      </c>
      <c r="B27" t="inlineStr">
        <is>
          <t>StatCan 11-10-0190 switched to 2020 constant dollar base in older vintages; current release uses 2024 constant dollars throughout (confirmed by UOM field in downloaded 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2026-05-25T14:36:59Z</dcterms:created>
  <dcterms:modified xmlns:dcterms="http://purl.org/dc/terms/" xmlns:xsi="http://www.w3.org/2001/XMLSchema-instance" xsi:type="dcterms:W3CDTF">2026-05-25T14:36:59Z</dcterms:modified>
</cp:coreProperties>
</file>