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yzh\projects\macro-research-department\bylines\commentaries\"/>
    </mc:Choice>
  </mc:AlternateContent>
  <xr:revisionPtr revIDLastSave="0" documentId="13_ncr:1_{52935C93-884C-42A0-9725-FF0DE1EE07C0}" xr6:coauthVersionLast="47" xr6:coauthVersionMax="47" xr10:uidLastSave="{00000000-0000-0000-0000-000000000000}"/>
  <bookViews>
    <workbookView xWindow="-98" yWindow="-98" windowWidth="21795" windowHeight="12975" firstSheet="1" activeTab="2" xr2:uid="{00000000-000D-0000-FFFF-FFFF00000000}"/>
  </bookViews>
  <sheets>
    <sheet name="Headline" sheetId="1" r:id="rId1"/>
    <sheet name="Headline vs Core" sheetId="2" r:id="rId2"/>
    <sheet name="Nominal vs Volume" sheetId="3" r:id="rId3"/>
    <sheet name="Subsectors" sheetId="4" r:id="rId4"/>
    <sheet name="Sour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" i="3" l="1"/>
  <c r="K61" i="3"/>
  <c r="A61" i="3"/>
  <c r="D61" i="3"/>
  <c r="E61" i="3"/>
  <c r="G61" i="3"/>
  <c r="H61" i="3"/>
  <c r="J36" i="3"/>
  <c r="K36" i="3"/>
  <c r="J37" i="3"/>
  <c r="K37" i="3"/>
  <c r="J38" i="3"/>
  <c r="K38" i="3"/>
  <c r="J39" i="3"/>
  <c r="K39" i="3"/>
  <c r="J40" i="3"/>
  <c r="K40" i="3"/>
  <c r="J41" i="3"/>
  <c r="K41" i="3"/>
  <c r="J42" i="3"/>
  <c r="K42" i="3"/>
  <c r="J43" i="3"/>
  <c r="K43" i="3"/>
  <c r="J44" i="3"/>
  <c r="K44" i="3"/>
  <c r="J45" i="3"/>
  <c r="K45" i="3"/>
  <c r="J46" i="3"/>
  <c r="K46" i="3"/>
  <c r="J47" i="3"/>
  <c r="K47" i="3"/>
  <c r="J48" i="3"/>
  <c r="K48" i="3"/>
  <c r="J49" i="3"/>
  <c r="K49" i="3"/>
  <c r="J50" i="3"/>
  <c r="K50" i="3"/>
  <c r="J51" i="3"/>
  <c r="K51" i="3"/>
  <c r="J52" i="3"/>
  <c r="K52" i="3"/>
  <c r="J53" i="3"/>
  <c r="K53" i="3"/>
  <c r="J54" i="3"/>
  <c r="K54" i="3"/>
  <c r="J55" i="3"/>
  <c r="K55" i="3"/>
  <c r="J56" i="3"/>
  <c r="K56" i="3"/>
  <c r="J57" i="3"/>
  <c r="K57" i="3"/>
  <c r="J58" i="3"/>
  <c r="K58" i="3"/>
  <c r="J59" i="3"/>
  <c r="K59" i="3"/>
  <c r="J60" i="3"/>
  <c r="K60" i="3"/>
  <c r="K35" i="3"/>
  <c r="J35" i="3"/>
  <c r="N35" i="2"/>
  <c r="O35" i="2"/>
  <c r="N36" i="2"/>
  <c r="O36" i="2"/>
  <c r="N37" i="2"/>
  <c r="O37" i="2"/>
  <c r="N38" i="2"/>
  <c r="O38" i="2"/>
  <c r="N39" i="2"/>
  <c r="O39" i="2"/>
  <c r="N40" i="2"/>
  <c r="O40" i="2"/>
  <c r="N41" i="2"/>
  <c r="O41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49" i="2"/>
  <c r="O49" i="2"/>
  <c r="N50" i="2"/>
  <c r="O50" i="2"/>
  <c r="N51" i="2"/>
  <c r="O51" i="2"/>
  <c r="N52" i="2"/>
  <c r="O52" i="2"/>
  <c r="N53" i="2"/>
  <c r="O53" i="2"/>
  <c r="N54" i="2"/>
  <c r="O54" i="2"/>
  <c r="N55" i="2"/>
  <c r="O55" i="2"/>
  <c r="N56" i="2"/>
  <c r="O56" i="2"/>
  <c r="N57" i="2"/>
  <c r="O57" i="2"/>
  <c r="N58" i="2"/>
  <c r="O58" i="2"/>
  <c r="N59" i="2"/>
  <c r="O59" i="2"/>
  <c r="N60" i="2"/>
  <c r="O60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35" i="2"/>
  <c r="F61" i="3" l="1"/>
  <c r="K60" i="4"/>
  <c r="J60" i="4"/>
  <c r="I60" i="4"/>
  <c r="H60" i="4"/>
  <c r="G60" i="4"/>
  <c r="K59" i="4"/>
  <c r="J59" i="4"/>
  <c r="I59" i="4"/>
  <c r="H59" i="4"/>
  <c r="G59" i="4"/>
  <c r="K58" i="4"/>
  <c r="J58" i="4"/>
  <c r="I58" i="4"/>
  <c r="H58" i="4"/>
  <c r="G58" i="4"/>
  <c r="K57" i="4"/>
  <c r="J57" i="4"/>
  <c r="I57" i="4"/>
  <c r="H57" i="4"/>
  <c r="G57" i="4"/>
  <c r="K56" i="4"/>
  <c r="J56" i="4"/>
  <c r="I56" i="4"/>
  <c r="H56" i="4"/>
  <c r="G56" i="4"/>
  <c r="K55" i="4"/>
  <c r="J55" i="4"/>
  <c r="I55" i="4"/>
  <c r="H55" i="4"/>
  <c r="G55" i="4"/>
  <c r="K54" i="4"/>
  <c r="J54" i="4"/>
  <c r="I54" i="4"/>
  <c r="H54" i="4"/>
  <c r="G54" i="4"/>
  <c r="K53" i="4"/>
  <c r="J53" i="4"/>
  <c r="I53" i="4"/>
  <c r="H53" i="4"/>
  <c r="G53" i="4"/>
  <c r="K52" i="4"/>
  <c r="J52" i="4"/>
  <c r="I52" i="4"/>
  <c r="H52" i="4"/>
  <c r="G52" i="4"/>
  <c r="K51" i="4"/>
  <c r="J51" i="4"/>
  <c r="I51" i="4"/>
  <c r="H51" i="4"/>
  <c r="G51" i="4"/>
  <c r="K50" i="4"/>
  <c r="J50" i="4"/>
  <c r="I50" i="4"/>
  <c r="H50" i="4"/>
  <c r="G50" i="4"/>
  <c r="K49" i="4"/>
  <c r="J49" i="4"/>
  <c r="I49" i="4"/>
  <c r="H49" i="4"/>
  <c r="G49" i="4"/>
  <c r="K48" i="4"/>
  <c r="J48" i="4"/>
  <c r="I48" i="4"/>
  <c r="H48" i="4"/>
  <c r="G48" i="4"/>
  <c r="K47" i="4"/>
  <c r="J47" i="4"/>
  <c r="I47" i="4"/>
  <c r="H47" i="4"/>
  <c r="G47" i="4"/>
  <c r="K46" i="4"/>
  <c r="J46" i="4"/>
  <c r="I46" i="4"/>
  <c r="H46" i="4"/>
  <c r="G46" i="4"/>
  <c r="K45" i="4"/>
  <c r="J45" i="4"/>
  <c r="I45" i="4"/>
  <c r="H45" i="4"/>
  <c r="G45" i="4"/>
  <c r="K44" i="4"/>
  <c r="J44" i="4"/>
  <c r="I44" i="4"/>
  <c r="H44" i="4"/>
  <c r="G44" i="4"/>
  <c r="K43" i="4"/>
  <c r="J43" i="4"/>
  <c r="I43" i="4"/>
  <c r="H43" i="4"/>
  <c r="G43" i="4"/>
  <c r="K42" i="4"/>
  <c r="J42" i="4"/>
  <c r="I42" i="4"/>
  <c r="H42" i="4"/>
  <c r="G42" i="4"/>
  <c r="K41" i="4"/>
  <c r="J41" i="4"/>
  <c r="I41" i="4"/>
  <c r="H41" i="4"/>
  <c r="G41" i="4"/>
  <c r="K40" i="4"/>
  <c r="J40" i="4"/>
  <c r="I40" i="4"/>
  <c r="H40" i="4"/>
  <c r="G40" i="4"/>
  <c r="K39" i="4"/>
  <c r="J39" i="4"/>
  <c r="I39" i="4"/>
  <c r="H39" i="4"/>
  <c r="G39" i="4"/>
  <c r="K38" i="4"/>
  <c r="J38" i="4"/>
  <c r="I38" i="4"/>
  <c r="H38" i="4"/>
  <c r="G38" i="4"/>
  <c r="K37" i="4"/>
  <c r="J37" i="4"/>
  <c r="I37" i="4"/>
  <c r="H37" i="4"/>
  <c r="G37" i="4"/>
  <c r="K36" i="4"/>
  <c r="J36" i="4"/>
  <c r="I36" i="4"/>
  <c r="H36" i="4"/>
  <c r="G36" i="4"/>
  <c r="K35" i="4"/>
  <c r="J35" i="4"/>
  <c r="I35" i="4"/>
  <c r="H35" i="4"/>
  <c r="G35" i="4"/>
  <c r="K34" i="4"/>
  <c r="J34" i="4"/>
  <c r="I34" i="4"/>
  <c r="H34" i="4"/>
  <c r="G34" i="4"/>
  <c r="K33" i="4"/>
  <c r="J33" i="4"/>
  <c r="I33" i="4"/>
  <c r="H33" i="4"/>
  <c r="G33" i="4"/>
  <c r="K32" i="4"/>
  <c r="J32" i="4"/>
  <c r="I32" i="4"/>
  <c r="H32" i="4"/>
  <c r="G32" i="4"/>
  <c r="K31" i="4"/>
  <c r="J31" i="4"/>
  <c r="I31" i="4"/>
  <c r="H31" i="4"/>
  <c r="G31" i="4"/>
  <c r="K30" i="4"/>
  <c r="J30" i="4"/>
  <c r="I30" i="4"/>
  <c r="H30" i="4"/>
  <c r="G30" i="4"/>
  <c r="K29" i="4"/>
  <c r="J29" i="4"/>
  <c r="I29" i="4"/>
  <c r="H29" i="4"/>
  <c r="G29" i="4"/>
  <c r="K28" i="4"/>
  <c r="J28" i="4"/>
  <c r="I28" i="4"/>
  <c r="H28" i="4"/>
  <c r="G28" i="4"/>
  <c r="K27" i="4"/>
  <c r="J27" i="4"/>
  <c r="I27" i="4"/>
  <c r="H27" i="4"/>
  <c r="G27" i="4"/>
  <c r="K26" i="4"/>
  <c r="J26" i="4"/>
  <c r="I26" i="4"/>
  <c r="H26" i="4"/>
  <c r="G26" i="4"/>
  <c r="K25" i="4"/>
  <c r="J25" i="4"/>
  <c r="I25" i="4"/>
  <c r="H25" i="4"/>
  <c r="G25" i="4"/>
  <c r="K24" i="4"/>
  <c r="J24" i="4"/>
  <c r="I24" i="4"/>
  <c r="H24" i="4"/>
  <c r="G24" i="4"/>
  <c r="K23" i="4"/>
  <c r="J23" i="4"/>
  <c r="I23" i="4"/>
  <c r="H23" i="4"/>
  <c r="G23" i="4"/>
  <c r="K22" i="4"/>
  <c r="J22" i="4"/>
  <c r="I22" i="4"/>
  <c r="H22" i="4"/>
  <c r="G22" i="4"/>
  <c r="K21" i="4"/>
  <c r="J21" i="4"/>
  <c r="I21" i="4"/>
  <c r="H21" i="4"/>
  <c r="G21" i="4"/>
  <c r="K20" i="4"/>
  <c r="J20" i="4"/>
  <c r="I20" i="4"/>
  <c r="H20" i="4"/>
  <c r="G20" i="4"/>
  <c r="K19" i="4"/>
  <c r="J19" i="4"/>
  <c r="I19" i="4"/>
  <c r="H19" i="4"/>
  <c r="G19" i="4"/>
  <c r="K18" i="4"/>
  <c r="J18" i="4"/>
  <c r="I18" i="4"/>
  <c r="H18" i="4"/>
  <c r="G18" i="4"/>
  <c r="K17" i="4"/>
  <c r="J17" i="4"/>
  <c r="I17" i="4"/>
  <c r="H17" i="4"/>
  <c r="G17" i="4"/>
  <c r="K16" i="4"/>
  <c r="J16" i="4"/>
  <c r="I16" i="4"/>
  <c r="H16" i="4"/>
  <c r="G16" i="4"/>
  <c r="K15" i="4"/>
  <c r="J15" i="4"/>
  <c r="I15" i="4"/>
  <c r="H15" i="4"/>
  <c r="G15" i="4"/>
  <c r="K14" i="4"/>
  <c r="J14" i="4"/>
  <c r="I14" i="4"/>
  <c r="H14" i="4"/>
  <c r="G14" i="4"/>
  <c r="K13" i="4"/>
  <c r="J13" i="4"/>
  <c r="I13" i="4"/>
  <c r="H13" i="4"/>
  <c r="G13" i="4"/>
  <c r="K12" i="4"/>
  <c r="J12" i="4"/>
  <c r="I12" i="4"/>
  <c r="H12" i="4"/>
  <c r="G12" i="4"/>
  <c r="K11" i="4"/>
  <c r="J11" i="4"/>
  <c r="I11" i="4"/>
  <c r="H11" i="4"/>
  <c r="G11" i="4"/>
  <c r="K10" i="4"/>
  <c r="J10" i="4"/>
  <c r="I10" i="4"/>
  <c r="H10" i="4"/>
  <c r="G10" i="4"/>
  <c r="K9" i="4"/>
  <c r="J9" i="4"/>
  <c r="I9" i="4"/>
  <c r="H9" i="4"/>
  <c r="G9" i="4"/>
  <c r="K8" i="4"/>
  <c r="J8" i="4"/>
  <c r="I8" i="4"/>
  <c r="H8" i="4"/>
  <c r="G8" i="4"/>
  <c r="K7" i="4"/>
  <c r="J7" i="4"/>
  <c r="I7" i="4"/>
  <c r="H7" i="4"/>
  <c r="G7" i="4"/>
  <c r="K6" i="4"/>
  <c r="J6" i="4"/>
  <c r="I6" i="4"/>
  <c r="H6" i="4"/>
  <c r="G6" i="4"/>
  <c r="K5" i="4"/>
  <c r="J5" i="4"/>
  <c r="I5" i="4"/>
  <c r="H5" i="4"/>
  <c r="G5" i="4"/>
  <c r="K4" i="4"/>
  <c r="J4" i="4"/>
  <c r="I4" i="4"/>
  <c r="H4" i="4"/>
  <c r="G4" i="4"/>
  <c r="K3" i="4"/>
  <c r="J3" i="4"/>
  <c r="I3" i="4"/>
  <c r="H3" i="4"/>
  <c r="G3" i="4"/>
  <c r="H60" i="3"/>
  <c r="G60" i="3"/>
  <c r="F60" i="3"/>
  <c r="E60" i="3"/>
  <c r="D60" i="3"/>
  <c r="H59" i="3"/>
  <c r="G59" i="3"/>
  <c r="E59" i="3"/>
  <c r="F59" i="3" s="1"/>
  <c r="D59" i="3"/>
  <c r="H58" i="3"/>
  <c r="G58" i="3"/>
  <c r="F58" i="3"/>
  <c r="E58" i="3"/>
  <c r="D58" i="3"/>
  <c r="H57" i="3"/>
  <c r="G57" i="3"/>
  <c r="E57" i="3"/>
  <c r="F57" i="3" s="1"/>
  <c r="D57" i="3"/>
  <c r="H56" i="3"/>
  <c r="G56" i="3"/>
  <c r="E56" i="3"/>
  <c r="D56" i="3"/>
  <c r="F56" i="3" s="1"/>
  <c r="H55" i="3"/>
  <c r="G55" i="3"/>
  <c r="E55" i="3"/>
  <c r="F55" i="3" s="1"/>
  <c r="D55" i="3"/>
  <c r="H54" i="3"/>
  <c r="G54" i="3"/>
  <c r="E54" i="3"/>
  <c r="D54" i="3"/>
  <c r="F54" i="3" s="1"/>
  <c r="H53" i="3"/>
  <c r="G53" i="3"/>
  <c r="E53" i="3"/>
  <c r="D53" i="3"/>
  <c r="F53" i="3" s="1"/>
  <c r="H52" i="3"/>
  <c r="G52" i="3"/>
  <c r="E52" i="3"/>
  <c r="D52" i="3"/>
  <c r="F52" i="3" s="1"/>
  <c r="H51" i="3"/>
  <c r="G51" i="3"/>
  <c r="E51" i="3"/>
  <c r="D51" i="3"/>
  <c r="F51" i="3" s="1"/>
  <c r="H50" i="3"/>
  <c r="G50" i="3"/>
  <c r="E50" i="3"/>
  <c r="D50" i="3"/>
  <c r="F50" i="3" s="1"/>
  <c r="H49" i="3"/>
  <c r="G49" i="3"/>
  <c r="E49" i="3"/>
  <c r="D49" i="3"/>
  <c r="F49" i="3" s="1"/>
  <c r="H48" i="3"/>
  <c r="G48" i="3"/>
  <c r="E48" i="3"/>
  <c r="D48" i="3"/>
  <c r="F48" i="3" s="1"/>
  <c r="H47" i="3"/>
  <c r="G47" i="3"/>
  <c r="E47" i="3"/>
  <c r="D47" i="3"/>
  <c r="F47" i="3" s="1"/>
  <c r="H46" i="3"/>
  <c r="G46" i="3"/>
  <c r="E46" i="3"/>
  <c r="D46" i="3"/>
  <c r="F46" i="3" s="1"/>
  <c r="H45" i="3"/>
  <c r="G45" i="3"/>
  <c r="E45" i="3"/>
  <c r="D45" i="3"/>
  <c r="F45" i="3" s="1"/>
  <c r="H44" i="3"/>
  <c r="G44" i="3"/>
  <c r="E44" i="3"/>
  <c r="D44" i="3"/>
  <c r="F44" i="3" s="1"/>
  <c r="H43" i="3"/>
  <c r="G43" i="3"/>
  <c r="F43" i="3"/>
  <c r="E43" i="3"/>
  <c r="D43" i="3"/>
  <c r="H42" i="3"/>
  <c r="G42" i="3"/>
  <c r="E42" i="3"/>
  <c r="D42" i="3"/>
  <c r="F42" i="3" s="1"/>
  <c r="H41" i="3"/>
  <c r="G41" i="3"/>
  <c r="E41" i="3"/>
  <c r="F41" i="3" s="1"/>
  <c r="D41" i="3"/>
  <c r="H40" i="3"/>
  <c r="G40" i="3"/>
  <c r="E40" i="3"/>
  <c r="D40" i="3"/>
  <c r="F40" i="3" s="1"/>
  <c r="H39" i="3"/>
  <c r="G39" i="3"/>
  <c r="E39" i="3"/>
  <c r="F39" i="3" s="1"/>
  <c r="D39" i="3"/>
  <c r="H38" i="3"/>
  <c r="G38" i="3"/>
  <c r="E38" i="3"/>
  <c r="D38" i="3"/>
  <c r="F38" i="3" s="1"/>
  <c r="H37" i="3"/>
  <c r="G37" i="3"/>
  <c r="F37" i="3"/>
  <c r="E37" i="3"/>
  <c r="D37" i="3"/>
  <c r="H36" i="3"/>
  <c r="G36" i="3"/>
  <c r="E36" i="3"/>
  <c r="D36" i="3"/>
  <c r="F36" i="3" s="1"/>
  <c r="H35" i="3"/>
  <c r="G35" i="3"/>
  <c r="F35" i="3"/>
  <c r="E35" i="3"/>
  <c r="D35" i="3"/>
  <c r="H34" i="3"/>
  <c r="G34" i="3"/>
  <c r="F34" i="3"/>
  <c r="E34" i="3"/>
  <c r="D34" i="3"/>
  <c r="H33" i="3"/>
  <c r="G33" i="3"/>
  <c r="E33" i="3"/>
  <c r="D33" i="3"/>
  <c r="F33" i="3" s="1"/>
  <c r="H32" i="3"/>
  <c r="G32" i="3"/>
  <c r="F32" i="3"/>
  <c r="E32" i="3"/>
  <c r="D32" i="3"/>
  <c r="H31" i="3"/>
  <c r="G31" i="3"/>
  <c r="E31" i="3"/>
  <c r="D31" i="3"/>
  <c r="F31" i="3" s="1"/>
  <c r="H30" i="3"/>
  <c r="G30" i="3"/>
  <c r="F30" i="3"/>
  <c r="E30" i="3"/>
  <c r="D30" i="3"/>
  <c r="H29" i="3"/>
  <c r="G29" i="3"/>
  <c r="E29" i="3"/>
  <c r="D29" i="3"/>
  <c r="F29" i="3" s="1"/>
  <c r="H28" i="3"/>
  <c r="G28" i="3"/>
  <c r="E28" i="3"/>
  <c r="D28" i="3"/>
  <c r="F28" i="3" s="1"/>
  <c r="H27" i="3"/>
  <c r="G27" i="3"/>
  <c r="E27" i="3"/>
  <c r="F27" i="3" s="1"/>
  <c r="D27" i="3"/>
  <c r="H26" i="3"/>
  <c r="G26" i="3"/>
  <c r="F26" i="3"/>
  <c r="E26" i="3"/>
  <c r="D26" i="3"/>
  <c r="H25" i="3"/>
  <c r="G25" i="3"/>
  <c r="E25" i="3"/>
  <c r="F25" i="3" s="1"/>
  <c r="D25" i="3"/>
  <c r="H24" i="3"/>
  <c r="G24" i="3"/>
  <c r="E24" i="3"/>
  <c r="D24" i="3"/>
  <c r="F24" i="3" s="1"/>
  <c r="H23" i="3"/>
  <c r="G23" i="3"/>
  <c r="E23" i="3"/>
  <c r="F23" i="3" s="1"/>
  <c r="D23" i="3"/>
  <c r="H22" i="3"/>
  <c r="G22" i="3"/>
  <c r="E22" i="3"/>
  <c r="D22" i="3"/>
  <c r="F22" i="3" s="1"/>
  <c r="H21" i="3"/>
  <c r="G21" i="3"/>
  <c r="F21" i="3"/>
  <c r="E21" i="3"/>
  <c r="D21" i="3"/>
  <c r="H20" i="3"/>
  <c r="G20" i="3"/>
  <c r="E20" i="3"/>
  <c r="D20" i="3"/>
  <c r="F20" i="3" s="1"/>
  <c r="H19" i="3"/>
  <c r="G19" i="3"/>
  <c r="F19" i="3"/>
  <c r="E19" i="3"/>
  <c r="D19" i="3"/>
  <c r="H18" i="3"/>
  <c r="G18" i="3"/>
  <c r="F18" i="3"/>
  <c r="E18" i="3"/>
  <c r="D18" i="3"/>
  <c r="H17" i="3"/>
  <c r="G17" i="3"/>
  <c r="E17" i="3"/>
  <c r="D17" i="3"/>
  <c r="F17" i="3" s="1"/>
  <c r="H16" i="3"/>
  <c r="G16" i="3"/>
  <c r="F16" i="3"/>
  <c r="E16" i="3"/>
  <c r="D16" i="3"/>
  <c r="H15" i="3"/>
  <c r="G15" i="3"/>
  <c r="E15" i="3"/>
  <c r="D15" i="3"/>
  <c r="F15" i="3" s="1"/>
  <c r="H14" i="3"/>
  <c r="G14" i="3"/>
  <c r="F14" i="3"/>
  <c r="E14" i="3"/>
  <c r="D14" i="3"/>
  <c r="E13" i="3"/>
  <c r="F13" i="3" s="1"/>
  <c r="D13" i="3"/>
  <c r="F12" i="3"/>
  <c r="E12" i="3"/>
  <c r="D12" i="3"/>
  <c r="E11" i="3"/>
  <c r="F11" i="3" s="1"/>
  <c r="D11" i="3"/>
  <c r="F10" i="3"/>
  <c r="E10" i="3"/>
  <c r="D10" i="3"/>
  <c r="F9" i="3"/>
  <c r="E9" i="3"/>
  <c r="D9" i="3"/>
  <c r="E8" i="3"/>
  <c r="D8" i="3"/>
  <c r="F8" i="3" s="1"/>
  <c r="E7" i="3"/>
  <c r="D7" i="3"/>
  <c r="F7" i="3" s="1"/>
  <c r="E6" i="3"/>
  <c r="D6" i="3"/>
  <c r="F6" i="3" s="1"/>
  <c r="E5" i="3"/>
  <c r="D5" i="3"/>
  <c r="F5" i="3" s="1"/>
  <c r="E4" i="3"/>
  <c r="D4" i="3"/>
  <c r="F4" i="3" s="1"/>
  <c r="E3" i="3"/>
  <c r="D3" i="3"/>
  <c r="F3" i="3" s="1"/>
  <c r="J60" i="2"/>
  <c r="I60" i="2"/>
  <c r="H60" i="2"/>
  <c r="G60" i="2"/>
  <c r="F60" i="2"/>
  <c r="E60" i="2"/>
  <c r="J59" i="2"/>
  <c r="I59" i="2"/>
  <c r="H59" i="2"/>
  <c r="G59" i="2"/>
  <c r="F59" i="2"/>
  <c r="E59" i="2"/>
  <c r="J58" i="2"/>
  <c r="I58" i="2"/>
  <c r="H58" i="2"/>
  <c r="G58" i="2"/>
  <c r="F58" i="2"/>
  <c r="E58" i="2"/>
  <c r="J57" i="2"/>
  <c r="I57" i="2"/>
  <c r="H57" i="2"/>
  <c r="G57" i="2"/>
  <c r="F57" i="2"/>
  <c r="E57" i="2"/>
  <c r="J56" i="2"/>
  <c r="I56" i="2"/>
  <c r="H56" i="2"/>
  <c r="G56" i="2"/>
  <c r="F56" i="2"/>
  <c r="E56" i="2"/>
  <c r="J55" i="2"/>
  <c r="I55" i="2"/>
  <c r="H55" i="2"/>
  <c r="G55" i="2"/>
  <c r="F55" i="2"/>
  <c r="E55" i="2"/>
  <c r="J54" i="2"/>
  <c r="I54" i="2"/>
  <c r="H54" i="2"/>
  <c r="G54" i="2"/>
  <c r="F54" i="2"/>
  <c r="E54" i="2"/>
  <c r="J53" i="2"/>
  <c r="I53" i="2"/>
  <c r="H53" i="2"/>
  <c r="G53" i="2"/>
  <c r="F53" i="2"/>
  <c r="E53" i="2"/>
  <c r="J52" i="2"/>
  <c r="I52" i="2"/>
  <c r="H52" i="2"/>
  <c r="G52" i="2"/>
  <c r="F52" i="2"/>
  <c r="E52" i="2"/>
  <c r="J51" i="2"/>
  <c r="I51" i="2"/>
  <c r="H51" i="2"/>
  <c r="G51" i="2"/>
  <c r="F51" i="2"/>
  <c r="E51" i="2"/>
  <c r="J50" i="2"/>
  <c r="I50" i="2"/>
  <c r="H50" i="2"/>
  <c r="G50" i="2"/>
  <c r="F50" i="2"/>
  <c r="E50" i="2"/>
  <c r="J49" i="2"/>
  <c r="I49" i="2"/>
  <c r="H49" i="2"/>
  <c r="G49" i="2"/>
  <c r="F49" i="2"/>
  <c r="E49" i="2"/>
  <c r="J48" i="2"/>
  <c r="I48" i="2"/>
  <c r="H48" i="2"/>
  <c r="G48" i="2"/>
  <c r="F48" i="2"/>
  <c r="E48" i="2"/>
  <c r="J47" i="2"/>
  <c r="I47" i="2"/>
  <c r="H47" i="2"/>
  <c r="G47" i="2"/>
  <c r="F47" i="2"/>
  <c r="E47" i="2"/>
  <c r="J46" i="2"/>
  <c r="I46" i="2"/>
  <c r="H46" i="2"/>
  <c r="G46" i="2"/>
  <c r="F46" i="2"/>
  <c r="E46" i="2"/>
  <c r="J45" i="2"/>
  <c r="I45" i="2"/>
  <c r="H45" i="2"/>
  <c r="G45" i="2"/>
  <c r="F45" i="2"/>
  <c r="E45" i="2"/>
  <c r="J44" i="2"/>
  <c r="I44" i="2"/>
  <c r="H44" i="2"/>
  <c r="G44" i="2"/>
  <c r="F44" i="2"/>
  <c r="E44" i="2"/>
  <c r="J43" i="2"/>
  <c r="I43" i="2"/>
  <c r="H43" i="2"/>
  <c r="G43" i="2"/>
  <c r="F43" i="2"/>
  <c r="E43" i="2"/>
  <c r="J42" i="2"/>
  <c r="I42" i="2"/>
  <c r="H42" i="2"/>
  <c r="G42" i="2"/>
  <c r="F42" i="2"/>
  <c r="E42" i="2"/>
  <c r="J41" i="2"/>
  <c r="I41" i="2"/>
  <c r="H41" i="2"/>
  <c r="G41" i="2"/>
  <c r="F41" i="2"/>
  <c r="E41" i="2"/>
  <c r="J40" i="2"/>
  <c r="I40" i="2"/>
  <c r="H40" i="2"/>
  <c r="G40" i="2"/>
  <c r="F40" i="2"/>
  <c r="E40" i="2"/>
  <c r="J39" i="2"/>
  <c r="I39" i="2"/>
  <c r="H39" i="2"/>
  <c r="G39" i="2"/>
  <c r="F39" i="2"/>
  <c r="E39" i="2"/>
  <c r="J38" i="2"/>
  <c r="I38" i="2"/>
  <c r="H38" i="2"/>
  <c r="G38" i="2"/>
  <c r="F38" i="2"/>
  <c r="E38" i="2"/>
  <c r="J37" i="2"/>
  <c r="I37" i="2"/>
  <c r="H37" i="2"/>
  <c r="G37" i="2"/>
  <c r="F37" i="2"/>
  <c r="E37" i="2"/>
  <c r="J36" i="2"/>
  <c r="I36" i="2"/>
  <c r="H36" i="2"/>
  <c r="G36" i="2"/>
  <c r="F36" i="2"/>
  <c r="E36" i="2"/>
  <c r="J35" i="2"/>
  <c r="I35" i="2"/>
  <c r="H35" i="2"/>
  <c r="G35" i="2"/>
  <c r="F35" i="2"/>
  <c r="E35" i="2"/>
  <c r="J34" i="2"/>
  <c r="I34" i="2"/>
  <c r="H34" i="2"/>
  <c r="G34" i="2"/>
  <c r="F34" i="2"/>
  <c r="E34" i="2"/>
  <c r="J33" i="2"/>
  <c r="I33" i="2"/>
  <c r="H33" i="2"/>
  <c r="G33" i="2"/>
  <c r="F33" i="2"/>
  <c r="E33" i="2"/>
  <c r="J32" i="2"/>
  <c r="I32" i="2"/>
  <c r="H32" i="2"/>
  <c r="G32" i="2"/>
  <c r="F32" i="2"/>
  <c r="E32" i="2"/>
  <c r="J31" i="2"/>
  <c r="I31" i="2"/>
  <c r="H31" i="2"/>
  <c r="G31" i="2"/>
  <c r="F31" i="2"/>
  <c r="E31" i="2"/>
  <c r="J30" i="2"/>
  <c r="I30" i="2"/>
  <c r="H30" i="2"/>
  <c r="G30" i="2"/>
  <c r="F30" i="2"/>
  <c r="E30" i="2"/>
  <c r="J29" i="2"/>
  <c r="I29" i="2"/>
  <c r="H29" i="2"/>
  <c r="G29" i="2"/>
  <c r="F29" i="2"/>
  <c r="E29" i="2"/>
  <c r="J28" i="2"/>
  <c r="I28" i="2"/>
  <c r="H28" i="2"/>
  <c r="G28" i="2"/>
  <c r="F28" i="2"/>
  <c r="E28" i="2"/>
  <c r="J27" i="2"/>
  <c r="I27" i="2"/>
  <c r="H27" i="2"/>
  <c r="G27" i="2"/>
  <c r="F27" i="2"/>
  <c r="E27" i="2"/>
  <c r="J26" i="2"/>
  <c r="I26" i="2"/>
  <c r="H26" i="2"/>
  <c r="G26" i="2"/>
  <c r="F26" i="2"/>
  <c r="E26" i="2"/>
  <c r="J25" i="2"/>
  <c r="I25" i="2"/>
  <c r="H25" i="2"/>
  <c r="G25" i="2"/>
  <c r="F25" i="2"/>
  <c r="E25" i="2"/>
  <c r="J24" i="2"/>
  <c r="I24" i="2"/>
  <c r="H24" i="2"/>
  <c r="G24" i="2"/>
  <c r="F24" i="2"/>
  <c r="E24" i="2"/>
  <c r="J23" i="2"/>
  <c r="I23" i="2"/>
  <c r="H23" i="2"/>
  <c r="G23" i="2"/>
  <c r="F23" i="2"/>
  <c r="E23" i="2"/>
  <c r="J22" i="2"/>
  <c r="I22" i="2"/>
  <c r="H22" i="2"/>
  <c r="G22" i="2"/>
  <c r="F22" i="2"/>
  <c r="E22" i="2"/>
  <c r="J21" i="2"/>
  <c r="I21" i="2"/>
  <c r="H21" i="2"/>
  <c r="G21" i="2"/>
  <c r="F21" i="2"/>
  <c r="E21" i="2"/>
  <c r="J20" i="2"/>
  <c r="I20" i="2"/>
  <c r="H20" i="2"/>
  <c r="G20" i="2"/>
  <c r="F20" i="2"/>
  <c r="E20" i="2"/>
  <c r="J19" i="2"/>
  <c r="I19" i="2"/>
  <c r="H19" i="2"/>
  <c r="G19" i="2"/>
  <c r="F19" i="2"/>
  <c r="E19" i="2"/>
  <c r="J18" i="2"/>
  <c r="I18" i="2"/>
  <c r="H18" i="2"/>
  <c r="G18" i="2"/>
  <c r="F18" i="2"/>
  <c r="E18" i="2"/>
  <c r="J17" i="2"/>
  <c r="I17" i="2"/>
  <c r="H17" i="2"/>
  <c r="G17" i="2"/>
  <c r="F17" i="2"/>
  <c r="E17" i="2"/>
  <c r="J16" i="2"/>
  <c r="I16" i="2"/>
  <c r="H16" i="2"/>
  <c r="G16" i="2"/>
  <c r="F16" i="2"/>
  <c r="E16" i="2"/>
  <c r="J15" i="2"/>
  <c r="I15" i="2"/>
  <c r="H15" i="2"/>
  <c r="G15" i="2"/>
  <c r="F15" i="2"/>
  <c r="E15" i="2"/>
  <c r="J14" i="2"/>
  <c r="I14" i="2"/>
  <c r="H14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G5" i="2"/>
  <c r="F5" i="2"/>
  <c r="E5" i="2"/>
  <c r="G4" i="2"/>
  <c r="F4" i="2"/>
  <c r="E4" i="2"/>
  <c r="G3" i="2"/>
  <c r="F3" i="2"/>
  <c r="E3" i="2"/>
  <c r="F60" i="1"/>
  <c r="E60" i="1"/>
  <c r="D60" i="1"/>
  <c r="F59" i="1"/>
  <c r="E59" i="1"/>
  <c r="D59" i="1"/>
  <c r="F58" i="1"/>
  <c r="E58" i="1"/>
  <c r="D58" i="1"/>
  <c r="F57" i="1"/>
  <c r="E57" i="1"/>
  <c r="D57" i="1"/>
  <c r="F56" i="1"/>
  <c r="E56" i="1"/>
  <c r="D56" i="1"/>
  <c r="F55" i="1"/>
  <c r="E55" i="1"/>
  <c r="D55" i="1"/>
  <c r="F54" i="1"/>
  <c r="E54" i="1"/>
  <c r="D54" i="1"/>
  <c r="F53" i="1"/>
  <c r="E53" i="1"/>
  <c r="D53" i="1"/>
  <c r="F52" i="1"/>
  <c r="E52" i="1"/>
  <c r="D52" i="1"/>
  <c r="F51" i="1"/>
  <c r="E51" i="1"/>
  <c r="D51" i="1"/>
  <c r="F50" i="1"/>
  <c r="E50" i="1"/>
  <c r="D50" i="1"/>
  <c r="F49" i="1"/>
  <c r="E49" i="1"/>
  <c r="D49" i="1"/>
  <c r="F48" i="1"/>
  <c r="E48" i="1"/>
  <c r="D48" i="1"/>
  <c r="F47" i="1"/>
  <c r="E47" i="1"/>
  <c r="D47" i="1"/>
  <c r="F46" i="1"/>
  <c r="E46" i="1"/>
  <c r="D46" i="1"/>
  <c r="F45" i="1"/>
  <c r="E45" i="1"/>
  <c r="D45" i="1"/>
  <c r="F44" i="1"/>
  <c r="E44" i="1"/>
  <c r="D44" i="1"/>
  <c r="F43" i="1"/>
  <c r="E43" i="1"/>
  <c r="D43" i="1"/>
  <c r="F42" i="1"/>
  <c r="E42" i="1"/>
  <c r="D42" i="1"/>
  <c r="F41" i="1"/>
  <c r="E41" i="1"/>
  <c r="D41" i="1"/>
  <c r="F40" i="1"/>
  <c r="E40" i="1"/>
  <c r="D40" i="1"/>
  <c r="F39" i="1"/>
  <c r="E39" i="1"/>
  <c r="D39" i="1"/>
  <c r="F38" i="1"/>
  <c r="E38" i="1"/>
  <c r="D38" i="1"/>
  <c r="F37" i="1"/>
  <c r="E37" i="1"/>
  <c r="D37" i="1"/>
  <c r="F36" i="1"/>
  <c r="E36" i="1"/>
  <c r="D36" i="1"/>
  <c r="F35" i="1"/>
  <c r="E35" i="1"/>
  <c r="D35" i="1"/>
  <c r="F34" i="1"/>
  <c r="E34" i="1"/>
  <c r="D34" i="1"/>
  <c r="F33" i="1"/>
  <c r="E33" i="1"/>
  <c r="D33" i="1"/>
  <c r="F32" i="1"/>
  <c r="E32" i="1"/>
  <c r="D32" i="1"/>
  <c r="F31" i="1"/>
  <c r="E31" i="1"/>
  <c r="D31" i="1"/>
  <c r="F30" i="1"/>
  <c r="E30" i="1"/>
  <c r="D30" i="1"/>
  <c r="F29" i="1"/>
  <c r="E29" i="1"/>
  <c r="D29" i="1"/>
  <c r="F28" i="1"/>
  <c r="E28" i="1"/>
  <c r="D28" i="1"/>
  <c r="F27" i="1"/>
  <c r="E27" i="1"/>
  <c r="D27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4" i="1"/>
  <c r="E14" i="1"/>
  <c r="D14" i="1"/>
  <c r="F13" i="1"/>
  <c r="D13" i="1"/>
  <c r="F12" i="1"/>
  <c r="D12" i="1"/>
  <c r="F11" i="1"/>
  <c r="D11" i="1"/>
  <c r="F10" i="1"/>
  <c r="D10" i="1"/>
  <c r="F9" i="1"/>
  <c r="D9" i="1"/>
  <c r="F8" i="1"/>
  <c r="D8" i="1"/>
  <c r="F7" i="1"/>
  <c r="D7" i="1"/>
  <c r="F6" i="1"/>
  <c r="D6" i="1"/>
  <c r="F5" i="1"/>
  <c r="D5" i="1"/>
  <c r="D4" i="1"/>
  <c r="D3" i="1"/>
</calcChain>
</file>

<file path=xl/sharedStrings.xml><?xml version="1.0" encoding="utf-8"?>
<sst xmlns="http://schemas.openxmlformats.org/spreadsheetml/2006/main" count="106" uniqueCount="94">
  <si>
    <t>Date</t>
  </si>
  <si>
    <t>Total SA ($M)</t>
  </si>
  <si>
    <t>Total NSA ($M)</t>
  </si>
  <si>
    <t>m/m %</t>
  </si>
  <si>
    <t>y/y %</t>
  </si>
  <si>
    <t>3M AR %</t>
  </si>
  <si>
    <t>Ex-autos SA ($M)</t>
  </si>
  <si>
    <t>Core SA ($M)</t>
  </si>
  <si>
    <t>Total m/m %</t>
  </si>
  <si>
    <t>Ex-autos m/m %</t>
  </si>
  <si>
    <t>Core m/m %</t>
  </si>
  <si>
    <t>Total y/y %</t>
  </si>
  <si>
    <t>Ex-autos y/y %</t>
  </si>
  <si>
    <t>Core y/y %</t>
  </si>
  <si>
    <t>Nominal SA ($M)</t>
  </si>
  <si>
    <t>Volume SA (2017$M)</t>
  </si>
  <si>
    <t>Nominal m/m %</t>
  </si>
  <si>
    <t>Volume m/m %</t>
  </si>
  <si>
    <t>Implied price m/m %</t>
  </si>
  <si>
    <t>Nominal y/y %</t>
  </si>
  <si>
    <t>Volume y/y %</t>
  </si>
  <si>
    <t>Autos ($M)</t>
  </si>
  <si>
    <t>Gas ($M)</t>
  </si>
  <si>
    <t>Food/Bev ($M)</t>
  </si>
  <si>
    <t>GMS ($M)</t>
  </si>
  <si>
    <t>Building ($M)</t>
  </si>
  <si>
    <t>Autos m/m %</t>
  </si>
  <si>
    <t>Gas m/m %</t>
  </si>
  <si>
    <t>Food/Bev m/m %</t>
  </si>
  <si>
    <t>GMS m/m %</t>
  </si>
  <si>
    <t>Building m/m %</t>
  </si>
  <si>
    <t>Series</t>
  </si>
  <si>
    <t>StatCan vector</t>
  </si>
  <si>
    <t>StatCan cube</t>
  </si>
  <si>
    <t>Description</t>
  </si>
  <si>
    <t>Total SA</t>
  </si>
  <si>
    <t>v1446859483</t>
  </si>
  <si>
    <t>20-10-0056</t>
  </si>
  <si>
    <t>Canada; Retail trade; Total retail sales; Seasonally adjusted</t>
  </si>
  <si>
    <t>Total NSA</t>
  </si>
  <si>
    <t>v1446859481</t>
  </si>
  <si>
    <t>Canada; Retail trade; Total retail sales; Unadjusted</t>
  </si>
  <si>
    <t>Ex-autos SA</t>
  </si>
  <si>
    <t>derived</t>
  </si>
  <si>
    <t>—</t>
  </si>
  <si>
    <t>Total SA minus Autos SA</t>
  </si>
  <si>
    <t>Core SA</t>
  </si>
  <si>
    <t>Total SA minus Autos SA minus Gas SA (ex-autos ex-gas)</t>
  </si>
  <si>
    <t>Volume SA</t>
  </si>
  <si>
    <t>v1446870183</t>
  </si>
  <si>
    <t>20-10-0067</t>
  </si>
  <si>
    <t>Canada; Retail trade; Retail sales at 2017 constant prices (Unchained Laspeyres)</t>
  </si>
  <si>
    <t>Autos SA</t>
  </si>
  <si>
    <t>v1446859486</t>
  </si>
  <si>
    <t>Motor vehicle and parts dealers, SA</t>
  </si>
  <si>
    <t>Gas SA</t>
  </si>
  <si>
    <t>v1446859526</t>
  </si>
  <si>
    <t>Gasoline stations and fuel vendors, SA</t>
  </si>
  <si>
    <t>Food/Bev SA</t>
  </si>
  <si>
    <t>v1446859500</t>
  </si>
  <si>
    <t>Food and beverage retailers, SA</t>
  </si>
  <si>
    <t>GMS SA</t>
  </si>
  <si>
    <t>v1446859522</t>
  </si>
  <si>
    <t>General merchandise retailers, SA</t>
  </si>
  <si>
    <t>Building SA</t>
  </si>
  <si>
    <t>v1446859498</t>
  </si>
  <si>
    <t>Building material and garden equipment and supplies dealers, SA</t>
  </si>
  <si>
    <t>URLs</t>
  </si>
  <si>
    <t>Cube 20-10-0056</t>
  </si>
  <si>
    <t>https://www150.statcan.gc.ca/t1/tbl1/en/tv.action?pid=2010005601</t>
  </si>
  <si>
    <t>Monthly retail trade sales by industry, province</t>
  </si>
  <si>
    <t>Cube 20-10-0067</t>
  </si>
  <si>
    <t>https://www150.statcan.gc.ca/t1/tbl1/en/tv.action?pid=2010006701</t>
  </si>
  <si>
    <t>Monthly retail sales, price, and volume, seasonally adjusted</t>
  </si>
  <si>
    <t>Feb 2026 Daily</t>
  </si>
  <si>
    <t>https://www150.statcan.gc.ca/n1/daily-quotidien/260424/dq260424a-eng.htm</t>
  </si>
  <si>
    <t>Prior release</t>
  </si>
  <si>
    <t>Mar 2026 Daily</t>
  </si>
  <si>
    <t>https://www150.statcan.gc.ca/n1/daily-quotidien/260522/dq260522a-eng.htm</t>
  </si>
  <si>
    <t>Tomorrow's release (live 8:30am)</t>
  </si>
  <si>
    <t>Pulled</t>
  </si>
  <si>
    <t>2026-05-21</t>
  </si>
  <si>
    <t>Researcher dispatched via Sibley Creek pipeline</t>
  </si>
  <si>
    <t>Date range</t>
  </si>
  <si>
    <t>Apr 2021 – Feb 2026</t>
  </si>
  <si>
    <t>59 months</t>
  </si>
  <si>
    <t>Units</t>
  </si>
  <si>
    <t>Millions CAD</t>
  </si>
  <si>
    <t>Volume series in chained 2017 dollars</t>
  </si>
  <si>
    <t>Total</t>
  </si>
  <si>
    <t>Ex-autos</t>
  </si>
  <si>
    <t>Core</t>
  </si>
  <si>
    <t>Volumes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</si>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</sst>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m\ yyyy"/>
    <numFmt numFmtId="166" formatCode="0.0;\-0.0;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A0A0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39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0" i="0" u="none" strike="noStrike" kern="1200" spc="0" baseline="0">
                <a:solidFill>
                  <a:sysClr val="windowText" lastClr="000000"/>
                </a:solidFill>
                <a:latin typeface="Manrope SemiBold" pitchFamily="2" charset="0"/>
                <a:ea typeface="+mn-ea"/>
                <a:cs typeface="+mn-cs"/>
              </a:defRPr>
            </a:pPr>
            <a:r>
              <a:rPr lang="en-CA" sz="1000">
                <a:solidFill>
                  <a:sysClr val="windowText" lastClr="000000"/>
                </a:solidFill>
                <a:latin typeface="Manrope SemiBold" pitchFamily="2" charset="0"/>
              </a:rPr>
              <a:t>RETAIL</a:t>
            </a:r>
            <a:r>
              <a:rPr lang="en-CA" sz="1000" baseline="0">
                <a:solidFill>
                  <a:sysClr val="windowText" lastClr="000000"/>
                </a:solidFill>
                <a:latin typeface="Manrope SemiBold" pitchFamily="2" charset="0"/>
              </a:rPr>
              <a:t> SALES, INDEX = 100 IN JAN 2024</a:t>
            </a:r>
            <a:endParaRPr lang="en-CA" sz="1000">
              <a:solidFill>
                <a:sysClr val="windowText" lastClr="000000"/>
              </a:solidFill>
              <a:latin typeface="Manrope SemiBold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Manrope SemiBold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84711286089239E-2"/>
          <c:y val="0.14951407115777193"/>
          <c:w val="0.88159733158355202"/>
          <c:h val="0.75700568678915137"/>
        </c:manualLayout>
      </c:layout>
      <c:lineChart>
        <c:grouping val="standard"/>
        <c:varyColors val="0"/>
        <c:ser>
          <c:idx val="0"/>
          <c:order val="0"/>
          <c:tx>
            <c:strRef>
              <c:f>'Nominal vs Volume'!$J$34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Pt>
            <c:idx val="26"/>
            <c:marker>
              <c:symbol val="circle"/>
              <c:size val="6"/>
              <c:spPr>
                <a:solidFill>
                  <a:srgbClr val="E6394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C44C-48F5-BB4A-C28CAF54A874}"/>
              </c:ext>
            </c:extLst>
          </c:dPt>
          <c:cat>
            <c:numRef>
              <c:f>'Nominal vs Volume'!$A$35:$A$61</c:f>
              <c:numCache>
                <c:formatCode>mmm\ yyyy</c:formatCode>
                <c:ptCount val="27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</c:numCache>
            </c:numRef>
          </c:cat>
          <c:val>
            <c:numRef>
              <c:f>'Nominal vs Volume'!$J$35:$J$61</c:f>
              <c:numCache>
                <c:formatCode>General</c:formatCode>
                <c:ptCount val="27"/>
                <c:pt idx="0">
                  <c:v>100</c:v>
                </c:pt>
                <c:pt idx="1">
                  <c:v>100.1058279922492</c:v>
                </c:pt>
                <c:pt idx="2">
                  <c:v>99.351617230585774</c:v>
                </c:pt>
                <c:pt idx="3">
                  <c:v>100.23550454613206</c:v>
                </c:pt>
                <c:pt idx="4">
                  <c:v>99.689968698762854</c:v>
                </c:pt>
                <c:pt idx="5">
                  <c:v>99.034133253838135</c:v>
                </c:pt>
                <c:pt idx="6">
                  <c:v>101.03890296616484</c:v>
                </c:pt>
                <c:pt idx="7">
                  <c:v>100.76613504248024</c:v>
                </c:pt>
                <c:pt idx="8">
                  <c:v>101.83484871068713</c:v>
                </c:pt>
                <c:pt idx="9">
                  <c:v>102.90952451930242</c:v>
                </c:pt>
                <c:pt idx="10">
                  <c:v>102.95125950216129</c:v>
                </c:pt>
                <c:pt idx="11">
                  <c:v>105.66552392308839</c:v>
                </c:pt>
                <c:pt idx="12">
                  <c:v>105.19302429572217</c:v>
                </c:pt>
                <c:pt idx="13">
                  <c:v>103.44313608585483</c:v>
                </c:pt>
                <c:pt idx="14">
                  <c:v>104.73990162468326</c:v>
                </c:pt>
                <c:pt idx="15">
                  <c:v>104.95304814428378</c:v>
                </c:pt>
                <c:pt idx="16">
                  <c:v>103.76062006260247</c:v>
                </c:pt>
                <c:pt idx="17">
                  <c:v>105.20047697123267</c:v>
                </c:pt>
                <c:pt idx="18">
                  <c:v>104.53867938589954</c:v>
                </c:pt>
                <c:pt idx="19">
                  <c:v>105.5000745267551</c:v>
                </c:pt>
                <c:pt idx="20">
                  <c:v>104.4253987181398</c:v>
                </c:pt>
                <c:pt idx="21">
                  <c:v>104.50588761365329</c:v>
                </c:pt>
                <c:pt idx="22">
                  <c:v>105.80563422268594</c:v>
                </c:pt>
                <c:pt idx="23">
                  <c:v>105.39424653450588</c:v>
                </c:pt>
                <c:pt idx="24">
                  <c:v>106.70889849455956</c:v>
                </c:pt>
                <c:pt idx="25">
                  <c:v>107.41243106275154</c:v>
                </c:pt>
                <c:pt idx="26">
                  <c:v>108.80906245342076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4C-48F5-BB4A-C28CAF54A874}"/>
            </c:ext>
          </c:extLst>
        </c:ser>
        <c:ser>
          <c:idx val="1"/>
          <c:order val="1"/>
          <c:tx>
            <c:strRef>
              <c:f>'Nominal vs Volume'!$K$34</c:f>
              <c:strCache>
                <c:ptCount val="1"/>
                <c:pt idx="0">
                  <c:v>Volumes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'Nominal vs Volume'!$K$35:$K$61</c:f>
              <c:numCache>
                <c:formatCode>General</c:formatCode>
                <c:ptCount val="27"/>
                <c:pt idx="0">
                  <c:v>100</c:v>
                </c:pt>
                <c:pt idx="1">
                  <c:v>100.13109060574075</c:v>
                </c:pt>
                <c:pt idx="2">
                  <c:v>99.176001906772456</c:v>
                </c:pt>
                <c:pt idx="3">
                  <c:v>99.519901937417004</c:v>
                </c:pt>
                <c:pt idx="4">
                  <c:v>98.758895433960987</c:v>
                </c:pt>
                <c:pt idx="5">
                  <c:v>98.435425108107182</c:v>
                </c:pt>
                <c:pt idx="6">
                  <c:v>100.25537130988458</c:v>
                </c:pt>
                <c:pt idx="7">
                  <c:v>100.20259457250842</c:v>
                </c:pt>
                <c:pt idx="8">
                  <c:v>101.51350062991588</c:v>
                </c:pt>
                <c:pt idx="9">
                  <c:v>102.07531751166196</c:v>
                </c:pt>
                <c:pt idx="10">
                  <c:v>101.3636827947836</c:v>
                </c:pt>
                <c:pt idx="11">
                  <c:v>103.59392556777553</c:v>
                </c:pt>
                <c:pt idx="12">
                  <c:v>102.52306854165958</c:v>
                </c:pt>
                <c:pt idx="13">
                  <c:v>101.07255950151522</c:v>
                </c:pt>
                <c:pt idx="14">
                  <c:v>102.57925022983419</c:v>
                </c:pt>
                <c:pt idx="15">
                  <c:v>103.1666042425687</c:v>
                </c:pt>
                <c:pt idx="16">
                  <c:v>101.78930164459123</c:v>
                </c:pt>
                <c:pt idx="17">
                  <c:v>103.117232455991</c:v>
                </c:pt>
                <c:pt idx="18">
                  <c:v>102.17916851101501</c:v>
                </c:pt>
                <c:pt idx="19">
                  <c:v>103.28237256971637</c:v>
                </c:pt>
                <c:pt idx="20">
                  <c:v>102.01402839728966</c:v>
                </c:pt>
                <c:pt idx="21">
                  <c:v>101.42667438455516</c:v>
                </c:pt>
                <c:pt idx="22">
                  <c:v>102.48391160747727</c:v>
                </c:pt>
                <c:pt idx="23">
                  <c:v>102.14171405223193</c:v>
                </c:pt>
                <c:pt idx="24">
                  <c:v>103.20405870135177</c:v>
                </c:pt>
                <c:pt idx="25">
                  <c:v>103.52242160100786</c:v>
                </c:pt>
                <c:pt idx="26">
                  <c:v>103.85099935305935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4C-48F5-BB4A-C28CAF54A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0030623"/>
        <c:axId val="1670029183"/>
      </c:lineChart>
      <c:dateAx>
        <c:axId val="1670030623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Manrope" pitchFamily="2" charset="0"/>
                <a:ea typeface="+mn-ea"/>
                <a:cs typeface="+mn-cs"/>
              </a:defRPr>
            </a:pPr>
            <a:endParaRPr lang="en-US"/>
          </a:p>
        </c:txPr>
        <c:crossAx val="1670029183"/>
        <c:crosses val="autoZero"/>
        <c:auto val="1"/>
        <c:lblOffset val="100"/>
        <c:baseTimeUnit val="months"/>
        <c:majorUnit val="6"/>
        <c:majorTimeUnit val="months"/>
      </c:dateAx>
      <c:valAx>
        <c:axId val="1670029183"/>
        <c:scaling>
          <c:orientation val="minMax"/>
          <c:min val="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IBM Plex Mono" panose="020B0509050203000203" pitchFamily="49" charset="0"/>
                <a:ea typeface="+mn-ea"/>
                <a:cs typeface="+mn-cs"/>
              </a:defRPr>
            </a:pPr>
            <a:endParaRPr lang="en-US"/>
          </a:p>
        </c:txPr>
        <c:crossAx val="1670030623"/>
        <c:crosses val="autoZero"/>
        <c:crossBetween val="between"/>
      </c:valAx>
      <c:spPr>
        <a:noFill/>
        <a:ln w="6350">
          <a:solidFill>
            <a:srgbClr val="15171A"/>
          </a:solidFill>
        </a:ln>
        <a:effectLst/>
      </c:spPr>
    </c:plotArea>
    <c:legend>
      <c:legendPos val="b"/>
      <c:layout>
        <c:manualLayout>
          <c:xMode val="edge"/>
          <c:yMode val="edge"/>
          <c:x val="0.13831437102568098"/>
          <c:y val="0.31806593717763393"/>
          <c:w val="0.20441754155730529"/>
          <c:h val="0.172092811315252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Manrope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Manrope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416717</xdr:colOff>
      <xdr:row>34</xdr:row>
      <xdr:rowOff>147638</xdr:rowOff>
    </xdr:from>
    <xdr:to>
      <xdr:col>6</xdr:col>
      <xdr:colOff>347662</xdr:colOff>
      <xdr:row>53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76D5BF-CF8B-C977-6E96-08CE70711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workbookViewId="0">
      <pane ySplit="1" topLeftCell="A2" activePane="bottomLeft" state="frozen"/>
      <selection pane="bottomLeft" activeCell="F5" sqref="F5"/>
    </sheetView>
  </sheetViews>
  <sheetFormatPr defaultRowHeight="14.25" x14ac:dyDescent="0.45"/>
  <cols>
    <col min="1" max="1" width="11" customWidth="1"/>
    <col min="2" max="3" width="15" customWidth="1"/>
    <col min="4" max="6" width="10" customWidth="1"/>
  </cols>
  <sheetData>
    <row r="1" spans="1:6" ht="22.0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2">
        <v>44287</v>
      </c>
      <c r="B2" s="3">
        <v>58413</v>
      </c>
      <c r="C2" s="3">
        <v>58758</v>
      </c>
    </row>
    <row r="3" spans="1:6" x14ac:dyDescent="0.45">
      <c r="A3" s="2">
        <v>44317</v>
      </c>
      <c r="B3" s="3">
        <v>57035</v>
      </c>
      <c r="C3" s="3">
        <v>61924</v>
      </c>
      <c r="D3" s="4">
        <f t="shared" ref="D3:D34" si="0">IFERROR((B3/B2-1)*100,"")</f>
        <v>-2.3590639070069974</v>
      </c>
    </row>
    <row r="4" spans="1:6" x14ac:dyDescent="0.45">
      <c r="A4" s="2">
        <v>44348</v>
      </c>
      <c r="B4" s="3">
        <v>59665</v>
      </c>
      <c r="C4" s="3">
        <v>64177</v>
      </c>
      <c r="D4" s="4">
        <f t="shared" si="0"/>
        <v>4.6112036468834994</v>
      </c>
    </row>
    <row r="5" spans="1:6" x14ac:dyDescent="0.45">
      <c r="A5" s="2">
        <v>44378</v>
      </c>
      <c r="B5" s="3">
        <v>60203</v>
      </c>
      <c r="C5" s="3">
        <v>64020</v>
      </c>
      <c r="D5" s="4">
        <f t="shared" si="0"/>
        <v>0.90170116483700991</v>
      </c>
      <c r="F5" s="4">
        <f t="shared" ref="F5:F36" si="1">IFERROR(((B5/B2)^4-1)*100,"")</f>
        <v>12.83257181675237</v>
      </c>
    </row>
    <row r="6" spans="1:6" x14ac:dyDescent="0.45">
      <c r="A6" s="2">
        <v>44409</v>
      </c>
      <c r="B6" s="3">
        <v>61117</v>
      </c>
      <c r="C6" s="3">
        <v>62764</v>
      </c>
      <c r="D6" s="4">
        <f t="shared" si="0"/>
        <v>1.5181967676029418</v>
      </c>
      <c r="F6" s="4">
        <f t="shared" si="1"/>
        <v>31.850666477761536</v>
      </c>
    </row>
    <row r="7" spans="1:6" x14ac:dyDescent="0.45">
      <c r="A7" s="2">
        <v>44440</v>
      </c>
      <c r="B7" s="3">
        <v>60798</v>
      </c>
      <c r="C7" s="3">
        <v>61317</v>
      </c>
      <c r="D7" s="4">
        <f t="shared" si="0"/>
        <v>-0.52194970302861243</v>
      </c>
      <c r="F7" s="4">
        <f t="shared" si="1"/>
        <v>7.8148523060499908</v>
      </c>
    </row>
    <row r="8" spans="1:6" x14ac:dyDescent="0.45">
      <c r="A8" s="2">
        <v>44470</v>
      </c>
      <c r="B8" s="3">
        <v>61718</v>
      </c>
      <c r="C8" s="3">
        <v>62955</v>
      </c>
      <c r="D8" s="4">
        <f t="shared" si="0"/>
        <v>1.5132076713049836</v>
      </c>
      <c r="F8" s="4">
        <f t="shared" si="1"/>
        <v>10.452320195946507</v>
      </c>
    </row>
    <row r="9" spans="1:6" x14ac:dyDescent="0.45">
      <c r="A9" s="2">
        <v>44501</v>
      </c>
      <c r="B9" s="3">
        <v>62372</v>
      </c>
      <c r="C9" s="3">
        <v>64037</v>
      </c>
      <c r="D9" s="4">
        <f t="shared" si="0"/>
        <v>1.0596584464823922</v>
      </c>
      <c r="F9" s="4">
        <f t="shared" si="1"/>
        <v>8.4702317236873483</v>
      </c>
    </row>
    <row r="10" spans="1:6" x14ac:dyDescent="0.45">
      <c r="A10" s="2">
        <v>44531</v>
      </c>
      <c r="B10" s="3">
        <v>61336</v>
      </c>
      <c r="C10" s="3">
        <v>64425</v>
      </c>
      <c r="D10" s="4">
        <f t="shared" si="0"/>
        <v>-1.6610017315462078</v>
      </c>
      <c r="F10" s="4">
        <f t="shared" si="1"/>
        <v>3.5868505148709762</v>
      </c>
    </row>
    <row r="11" spans="1:6" x14ac:dyDescent="0.45">
      <c r="A11" s="2">
        <v>44562</v>
      </c>
      <c r="B11" s="3">
        <v>62902</v>
      </c>
      <c r="C11" s="3">
        <v>51876</v>
      </c>
      <c r="D11" s="4">
        <f t="shared" si="0"/>
        <v>2.553149863049442</v>
      </c>
      <c r="F11" s="4">
        <f t="shared" si="1"/>
        <v>7.897266095232669</v>
      </c>
    </row>
    <row r="12" spans="1:6" x14ac:dyDescent="0.45">
      <c r="A12" s="2">
        <v>44593</v>
      </c>
      <c r="B12" s="3">
        <v>63226</v>
      </c>
      <c r="C12" s="3">
        <v>51422</v>
      </c>
      <c r="D12" s="4">
        <f t="shared" si="0"/>
        <v>0.51508696066897564</v>
      </c>
      <c r="F12" s="4">
        <f t="shared" si="1"/>
        <v>5.5903299815136531</v>
      </c>
    </row>
    <row r="13" spans="1:6" x14ac:dyDescent="0.45">
      <c r="A13" s="2">
        <v>44621</v>
      </c>
      <c r="B13" s="3">
        <v>64010</v>
      </c>
      <c r="C13" s="3">
        <v>62691</v>
      </c>
      <c r="D13" s="4">
        <f t="shared" si="0"/>
        <v>1.2399962040932522</v>
      </c>
      <c r="F13" s="4">
        <f t="shared" si="1"/>
        <v>18.612240034598603</v>
      </c>
    </row>
    <row r="14" spans="1:6" x14ac:dyDescent="0.45">
      <c r="A14" s="2">
        <v>44652</v>
      </c>
      <c r="B14" s="3">
        <v>64084</v>
      </c>
      <c r="C14" s="3">
        <v>64256</v>
      </c>
      <c r="D14" s="4">
        <f t="shared" si="0"/>
        <v>0.11560693641619046</v>
      </c>
      <c r="E14" s="4">
        <f t="shared" ref="E14:E60" si="2">IFERROR((B14/B2-1)*100,"")</f>
        <v>9.7084553096057356</v>
      </c>
      <c r="F14" s="4">
        <f t="shared" si="1"/>
        <v>7.7309848082488752</v>
      </c>
    </row>
    <row r="15" spans="1:6" x14ac:dyDescent="0.45">
      <c r="A15" s="2">
        <v>44682</v>
      </c>
      <c r="B15" s="3">
        <v>65992</v>
      </c>
      <c r="C15" s="3">
        <v>71452</v>
      </c>
      <c r="D15" s="4">
        <f t="shared" si="0"/>
        <v>2.9773422383122083</v>
      </c>
      <c r="E15" s="4">
        <f t="shared" si="2"/>
        <v>15.704392039975446</v>
      </c>
      <c r="F15" s="4">
        <f t="shared" si="1"/>
        <v>18.681310823365791</v>
      </c>
    </row>
    <row r="16" spans="1:6" x14ac:dyDescent="0.45">
      <c r="A16" s="2">
        <v>44713</v>
      </c>
      <c r="B16" s="3">
        <v>66813</v>
      </c>
      <c r="C16" s="3">
        <v>71522</v>
      </c>
      <c r="D16" s="4">
        <f t="shared" si="0"/>
        <v>1.2440901927506465</v>
      </c>
      <c r="E16" s="4">
        <f t="shared" si="2"/>
        <v>11.980222911254511</v>
      </c>
      <c r="F16" s="4">
        <f t="shared" si="1"/>
        <v>18.700509141489754</v>
      </c>
    </row>
    <row r="17" spans="1:6" x14ac:dyDescent="0.45">
      <c r="A17" s="2">
        <v>44743</v>
      </c>
      <c r="B17" s="3">
        <v>64912</v>
      </c>
      <c r="C17" s="3">
        <v>68035</v>
      </c>
      <c r="D17" s="4">
        <f t="shared" si="0"/>
        <v>-2.8452546660081124</v>
      </c>
      <c r="E17" s="4">
        <f t="shared" si="2"/>
        <v>7.8218693420593732</v>
      </c>
      <c r="F17" s="4">
        <f t="shared" si="1"/>
        <v>5.2692465267081712</v>
      </c>
    </row>
    <row r="18" spans="1:6" x14ac:dyDescent="0.45">
      <c r="A18" s="2">
        <v>44774</v>
      </c>
      <c r="B18" s="3">
        <v>65182</v>
      </c>
      <c r="C18" s="3">
        <v>68026</v>
      </c>
      <c r="D18" s="4">
        <f t="shared" si="0"/>
        <v>0.41594774463888928</v>
      </c>
      <c r="E18" s="4">
        <f t="shared" si="2"/>
        <v>6.6511772501922639</v>
      </c>
      <c r="F18" s="4">
        <f t="shared" si="1"/>
        <v>-4.8200296150660238</v>
      </c>
    </row>
    <row r="19" spans="1:6" x14ac:dyDescent="0.45">
      <c r="A19" s="2">
        <v>44805</v>
      </c>
      <c r="B19" s="3">
        <v>64874</v>
      </c>
      <c r="C19" s="3">
        <v>65516</v>
      </c>
      <c r="D19" s="4">
        <f t="shared" si="0"/>
        <v>-0.47252308919640829</v>
      </c>
      <c r="E19" s="4">
        <f t="shared" si="2"/>
        <v>6.704167900259872</v>
      </c>
      <c r="F19" s="4">
        <f t="shared" si="1"/>
        <v>-11.112884022732771</v>
      </c>
    </row>
    <row r="20" spans="1:6" x14ac:dyDescent="0.45">
      <c r="A20" s="2">
        <v>44835</v>
      </c>
      <c r="B20" s="3">
        <v>65505</v>
      </c>
      <c r="C20" s="3">
        <v>66299</v>
      </c>
      <c r="D20" s="4">
        <f t="shared" si="0"/>
        <v>0.97265468446527947</v>
      </c>
      <c r="E20" s="4">
        <f t="shared" si="2"/>
        <v>6.1359732979033632</v>
      </c>
      <c r="F20" s="4">
        <f t="shared" si="1"/>
        <v>3.7045574371003198</v>
      </c>
    </row>
    <row r="21" spans="1:6" x14ac:dyDescent="0.45">
      <c r="A21" s="2">
        <v>44866</v>
      </c>
      <c r="B21" s="3">
        <v>65322</v>
      </c>
      <c r="C21" s="3">
        <v>67945</v>
      </c>
      <c r="D21" s="4">
        <f t="shared" si="0"/>
        <v>-0.27936798717654865</v>
      </c>
      <c r="E21" s="4">
        <f t="shared" si="2"/>
        <v>4.7296863977425829</v>
      </c>
      <c r="F21" s="4">
        <f t="shared" si="1"/>
        <v>0.8619047648700473</v>
      </c>
    </row>
    <row r="22" spans="1:6" x14ac:dyDescent="0.45">
      <c r="A22" s="2">
        <v>44896</v>
      </c>
      <c r="B22" s="3">
        <v>64724</v>
      </c>
      <c r="C22" s="3">
        <v>68508</v>
      </c>
      <c r="D22" s="4">
        <f t="shared" si="0"/>
        <v>-0.91546492758948217</v>
      </c>
      <c r="E22" s="4">
        <f t="shared" si="2"/>
        <v>5.5236728837876559</v>
      </c>
      <c r="F22" s="4">
        <f t="shared" si="1"/>
        <v>-0.92166699895812609</v>
      </c>
    </row>
    <row r="23" spans="1:6" x14ac:dyDescent="0.45">
      <c r="A23" s="2">
        <v>44927</v>
      </c>
      <c r="B23" s="3">
        <v>66337</v>
      </c>
      <c r="C23" s="3">
        <v>55163</v>
      </c>
      <c r="D23" s="4">
        <f t="shared" si="0"/>
        <v>2.4921203881095089</v>
      </c>
      <c r="E23" s="4">
        <f t="shared" si="2"/>
        <v>5.46087564783313</v>
      </c>
      <c r="F23" s="4">
        <f t="shared" si="1"/>
        <v>5.1781445409079252</v>
      </c>
    </row>
    <row r="24" spans="1:6" x14ac:dyDescent="0.45">
      <c r="A24" s="2">
        <v>44958</v>
      </c>
      <c r="B24" s="3">
        <v>65394</v>
      </c>
      <c r="C24" s="3">
        <v>53718</v>
      </c>
      <c r="D24" s="4">
        <f t="shared" si="0"/>
        <v>-1.4215294631955033</v>
      </c>
      <c r="E24" s="4">
        <f t="shared" si="2"/>
        <v>3.4289690949925733</v>
      </c>
      <c r="F24" s="4">
        <f t="shared" si="1"/>
        <v>0.44162229298647659</v>
      </c>
    </row>
    <row r="25" spans="1:6" x14ac:dyDescent="0.45">
      <c r="A25" s="2">
        <v>44986</v>
      </c>
      <c r="B25" s="3">
        <v>65152</v>
      </c>
      <c r="C25" s="3">
        <v>64501</v>
      </c>
      <c r="D25" s="4">
        <f t="shared" si="0"/>
        <v>-0.37006453191423816</v>
      </c>
      <c r="E25" s="4">
        <f t="shared" si="2"/>
        <v>1.7840962349632949</v>
      </c>
      <c r="F25" s="4">
        <f t="shared" si="1"/>
        <v>2.671430046896317</v>
      </c>
    </row>
    <row r="26" spans="1:6" x14ac:dyDescent="0.45">
      <c r="A26" s="2">
        <v>45017</v>
      </c>
      <c r="B26" s="3">
        <v>65544</v>
      </c>
      <c r="C26" s="3">
        <v>64838</v>
      </c>
      <c r="D26" s="4">
        <f t="shared" si="0"/>
        <v>0.60166994106090055</v>
      </c>
      <c r="E26" s="4">
        <f t="shared" si="2"/>
        <v>2.2782597840334651</v>
      </c>
      <c r="F26" s="4">
        <f t="shared" si="1"/>
        <v>-4.6965860027999966</v>
      </c>
    </row>
    <row r="27" spans="1:6" x14ac:dyDescent="0.45">
      <c r="A27" s="2">
        <v>45047</v>
      </c>
      <c r="B27" s="3">
        <v>65912</v>
      </c>
      <c r="C27" s="3">
        <v>72465</v>
      </c>
      <c r="D27" s="4">
        <f t="shared" si="0"/>
        <v>0.56145490052483815</v>
      </c>
      <c r="E27" s="4">
        <f t="shared" si="2"/>
        <v>-0.12122681537155566</v>
      </c>
      <c r="F27" s="4">
        <f t="shared" si="1"/>
        <v>3.2063330058445638</v>
      </c>
    </row>
    <row r="28" spans="1:6" x14ac:dyDescent="0.45">
      <c r="A28" s="2">
        <v>45078</v>
      </c>
      <c r="B28" s="3">
        <v>65999</v>
      </c>
      <c r="C28" s="3">
        <v>70863</v>
      </c>
      <c r="D28" s="4">
        <f t="shared" si="0"/>
        <v>0.13199417405025393</v>
      </c>
      <c r="E28" s="4">
        <f t="shared" si="2"/>
        <v>-1.218325774924045</v>
      </c>
      <c r="F28" s="4">
        <f t="shared" si="1"/>
        <v>5.3024348255151121</v>
      </c>
    </row>
    <row r="29" spans="1:6" x14ac:dyDescent="0.45">
      <c r="A29" s="2">
        <v>45108</v>
      </c>
      <c r="B29" s="3">
        <v>65934</v>
      </c>
      <c r="C29" s="3">
        <v>68125</v>
      </c>
      <c r="D29" s="4">
        <f t="shared" si="0"/>
        <v>-9.8486340702130803E-2</v>
      </c>
      <c r="E29" s="4">
        <f t="shared" si="2"/>
        <v>1.5744392408183483</v>
      </c>
      <c r="F29" s="4">
        <f t="shared" si="1"/>
        <v>2.401407886388518</v>
      </c>
    </row>
    <row r="30" spans="1:6" x14ac:dyDescent="0.45">
      <c r="A30" s="2">
        <v>45139</v>
      </c>
      <c r="B30" s="3">
        <v>65929</v>
      </c>
      <c r="C30" s="3">
        <v>69487</v>
      </c>
      <c r="D30" s="4">
        <f t="shared" si="0"/>
        <v>-7.5833409166725652E-3</v>
      </c>
      <c r="E30" s="4">
        <f t="shared" si="2"/>
        <v>1.1460219078886835</v>
      </c>
      <c r="F30" s="4">
        <f t="shared" si="1"/>
        <v>0.10320778056831514</v>
      </c>
    </row>
    <row r="31" spans="1:6" x14ac:dyDescent="0.45">
      <c r="A31" s="2">
        <v>45170</v>
      </c>
      <c r="B31" s="3">
        <v>66732</v>
      </c>
      <c r="C31" s="3">
        <v>67179</v>
      </c>
      <c r="D31" s="4">
        <f t="shared" si="0"/>
        <v>1.2179769145596042</v>
      </c>
      <c r="E31" s="4">
        <f t="shared" si="2"/>
        <v>2.8640133181243588</v>
      </c>
      <c r="F31" s="4">
        <f t="shared" si="1"/>
        <v>4.5170500402437641</v>
      </c>
    </row>
    <row r="32" spans="1:6" x14ac:dyDescent="0.45">
      <c r="A32" s="2">
        <v>45200</v>
      </c>
      <c r="B32" s="3">
        <v>66669</v>
      </c>
      <c r="C32" s="3">
        <v>67675</v>
      </c>
      <c r="D32" s="4">
        <f t="shared" si="0"/>
        <v>-9.4407480668945443E-2</v>
      </c>
      <c r="E32" s="4">
        <f t="shared" si="2"/>
        <v>1.7769635905656056</v>
      </c>
      <c r="F32" s="4">
        <f t="shared" si="1"/>
        <v>4.534120313232104</v>
      </c>
    </row>
    <row r="33" spans="1:6" x14ac:dyDescent="0.45">
      <c r="A33" s="2">
        <v>45231</v>
      </c>
      <c r="B33" s="3">
        <v>66441</v>
      </c>
      <c r="C33" s="3">
        <v>69243</v>
      </c>
      <c r="D33" s="4">
        <f t="shared" si="0"/>
        <v>-0.34198803041893822</v>
      </c>
      <c r="E33" s="4">
        <f t="shared" si="2"/>
        <v>1.7130522641682688</v>
      </c>
      <c r="F33" s="4">
        <f t="shared" si="1"/>
        <v>3.1427455156467499</v>
      </c>
    </row>
    <row r="34" spans="1:6" x14ac:dyDescent="0.45">
      <c r="A34" s="2">
        <v>45261</v>
      </c>
      <c r="B34" s="3">
        <v>66327</v>
      </c>
      <c r="C34" s="3">
        <v>69110</v>
      </c>
      <c r="D34" s="4">
        <f t="shared" si="0"/>
        <v>-0.17158080101142836</v>
      </c>
      <c r="E34" s="4">
        <f t="shared" si="2"/>
        <v>2.4766701687163994</v>
      </c>
      <c r="F34" s="4">
        <f t="shared" si="1"/>
        <v>-2.4056101756395498</v>
      </c>
    </row>
    <row r="35" spans="1:6" x14ac:dyDescent="0.45">
      <c r="A35" s="2">
        <v>45292</v>
      </c>
      <c r="B35" s="3">
        <v>67090</v>
      </c>
      <c r="C35" s="3">
        <v>56795</v>
      </c>
      <c r="D35" s="4">
        <f t="shared" ref="D35:D60" si="3">IFERROR((B35/B34-1)*100,"")</f>
        <v>1.1503610897522831</v>
      </c>
      <c r="E35" s="4">
        <f t="shared" si="2"/>
        <v>1.13511313444985</v>
      </c>
      <c r="F35" s="4">
        <f t="shared" si="1"/>
        <v>2.5499383366136108</v>
      </c>
    </row>
    <row r="36" spans="1:6" x14ac:dyDescent="0.45">
      <c r="A36" s="2">
        <v>45323</v>
      </c>
      <c r="B36" s="3">
        <v>67161</v>
      </c>
      <c r="C36" s="3">
        <v>57401</v>
      </c>
      <c r="D36" s="4">
        <f t="shared" si="3"/>
        <v>0.1058279922492078</v>
      </c>
      <c r="E36" s="4">
        <f t="shared" si="2"/>
        <v>2.7020827598862374</v>
      </c>
      <c r="F36" s="4">
        <f t="shared" si="1"/>
        <v>4.4056434915733078</v>
      </c>
    </row>
    <row r="37" spans="1:6" x14ac:dyDescent="0.45">
      <c r="A37" s="2">
        <v>45352</v>
      </c>
      <c r="B37" s="3">
        <v>66655</v>
      </c>
      <c r="C37" s="3">
        <v>64047</v>
      </c>
      <c r="D37" s="4">
        <f t="shared" si="3"/>
        <v>-0.75341343934723914</v>
      </c>
      <c r="E37" s="4">
        <f t="shared" si="2"/>
        <v>2.3069130648330161</v>
      </c>
      <c r="F37" s="4">
        <f t="shared" ref="F37:F68" si="4">IFERROR(((B37/B34)^4-1)*100,"")</f>
        <v>1.9927997193539326</v>
      </c>
    </row>
    <row r="38" spans="1:6" x14ac:dyDescent="0.45">
      <c r="A38" s="2">
        <v>45383</v>
      </c>
      <c r="B38" s="3">
        <v>67248</v>
      </c>
      <c r="C38" s="3">
        <v>67577</v>
      </c>
      <c r="D38" s="4">
        <f t="shared" si="3"/>
        <v>0.8896556897457053</v>
      </c>
      <c r="E38" s="4">
        <f t="shared" si="2"/>
        <v>2.5997803002563158</v>
      </c>
      <c r="F38" s="4">
        <f t="shared" si="4"/>
        <v>0.94535115573735062</v>
      </c>
    </row>
    <row r="39" spans="1:6" x14ac:dyDescent="0.45">
      <c r="A39" s="2">
        <v>45413</v>
      </c>
      <c r="B39" s="3">
        <v>66882</v>
      </c>
      <c r="C39" s="3">
        <v>73950</v>
      </c>
      <c r="D39" s="4">
        <f t="shared" si="3"/>
        <v>-0.54425410421127252</v>
      </c>
      <c r="E39" s="4">
        <f t="shared" si="2"/>
        <v>1.4716591819395664</v>
      </c>
      <c r="F39" s="4">
        <f t="shared" si="4"/>
        <v>-1.6513528893832286</v>
      </c>
    </row>
    <row r="40" spans="1:6" x14ac:dyDescent="0.45">
      <c r="A40" s="2">
        <v>45444</v>
      </c>
      <c r="B40" s="3">
        <v>66442</v>
      </c>
      <c r="C40" s="3">
        <v>69462</v>
      </c>
      <c r="D40" s="4">
        <f t="shared" si="3"/>
        <v>-0.657875063544755</v>
      </c>
      <c r="E40" s="4">
        <f t="shared" si="2"/>
        <v>0.6712222912468313</v>
      </c>
      <c r="F40" s="4">
        <f t="shared" si="4"/>
        <v>-1.2721097721772434</v>
      </c>
    </row>
    <row r="41" spans="1:6" x14ac:dyDescent="0.45">
      <c r="A41" s="2">
        <v>45474</v>
      </c>
      <c r="B41" s="3">
        <v>67787</v>
      </c>
      <c r="C41" s="3">
        <v>70864</v>
      </c>
      <c r="D41" s="4">
        <f t="shared" si="3"/>
        <v>2.0243219650221356</v>
      </c>
      <c r="E41" s="4">
        <f t="shared" si="2"/>
        <v>2.8103861437194677</v>
      </c>
      <c r="F41" s="4">
        <f t="shared" si="4"/>
        <v>3.2447948538260496</v>
      </c>
    </row>
    <row r="42" spans="1:6" x14ac:dyDescent="0.45">
      <c r="A42" s="2">
        <v>45505</v>
      </c>
      <c r="B42" s="3">
        <v>67604</v>
      </c>
      <c r="C42" s="3">
        <v>70817</v>
      </c>
      <c r="D42" s="4">
        <f t="shared" si="3"/>
        <v>-0.26996326729313846</v>
      </c>
      <c r="E42" s="4">
        <f t="shared" si="2"/>
        <v>2.5406118703453773</v>
      </c>
      <c r="F42" s="4">
        <f t="shared" si="4"/>
        <v>4.3884781729238043</v>
      </c>
    </row>
    <row r="43" spans="1:6" x14ac:dyDescent="0.45">
      <c r="A43" s="2">
        <v>45536</v>
      </c>
      <c r="B43" s="3">
        <v>68321</v>
      </c>
      <c r="C43" s="3">
        <v>66645</v>
      </c>
      <c r="D43" s="4">
        <f t="shared" si="3"/>
        <v>1.0605881308798359</v>
      </c>
      <c r="E43" s="4">
        <f t="shared" si="2"/>
        <v>2.3811664568722746</v>
      </c>
      <c r="F43" s="4">
        <f t="shared" si="4"/>
        <v>11.801098351983285</v>
      </c>
    </row>
    <row r="44" spans="1:6" x14ac:dyDescent="0.45">
      <c r="A44" s="2">
        <v>45566</v>
      </c>
      <c r="B44" s="3">
        <v>69042</v>
      </c>
      <c r="C44" s="3">
        <v>71758</v>
      </c>
      <c r="D44" s="4">
        <f t="shared" si="3"/>
        <v>1.0553124222420607</v>
      </c>
      <c r="E44" s="4">
        <f t="shared" si="2"/>
        <v>3.5593754218602447</v>
      </c>
      <c r="F44" s="4">
        <f t="shared" si="4"/>
        <v>7.6137579637103769</v>
      </c>
    </row>
    <row r="45" spans="1:6" x14ac:dyDescent="0.45">
      <c r="A45" s="2">
        <v>45597</v>
      </c>
      <c r="B45" s="3">
        <v>69070</v>
      </c>
      <c r="C45" s="3">
        <v>71854</v>
      </c>
      <c r="D45" s="4">
        <f t="shared" si="3"/>
        <v>4.0555024477861856E-2</v>
      </c>
      <c r="E45" s="4">
        <f t="shared" si="2"/>
        <v>3.9568940864827429</v>
      </c>
      <c r="F45" s="4">
        <f t="shared" si="4"/>
        <v>8.9602903141177581</v>
      </c>
    </row>
    <row r="46" spans="1:6" x14ac:dyDescent="0.45">
      <c r="A46" s="2">
        <v>45627</v>
      </c>
      <c r="B46" s="3">
        <v>70891</v>
      </c>
      <c r="C46" s="3">
        <v>73023</v>
      </c>
      <c r="D46" s="4">
        <f t="shared" si="3"/>
        <v>2.6364557695091939</v>
      </c>
      <c r="E46" s="4">
        <f t="shared" si="2"/>
        <v>6.8810589955824897</v>
      </c>
      <c r="F46" s="4">
        <f t="shared" si="4"/>
        <v>15.917112119984299</v>
      </c>
    </row>
    <row r="47" spans="1:6" x14ac:dyDescent="0.45">
      <c r="A47" s="2">
        <v>45658</v>
      </c>
      <c r="B47" s="3">
        <v>70574</v>
      </c>
      <c r="C47" s="3">
        <v>60526</v>
      </c>
      <c r="D47" s="4">
        <f t="shared" si="3"/>
        <v>-0.44716536654864081</v>
      </c>
      <c r="E47" s="4">
        <f t="shared" si="2"/>
        <v>5.1930242957221706</v>
      </c>
      <c r="F47" s="4">
        <f t="shared" si="4"/>
        <v>9.1755726464269891</v>
      </c>
    </row>
    <row r="48" spans="1:6" x14ac:dyDescent="0.45">
      <c r="A48" s="2">
        <v>45689</v>
      </c>
      <c r="B48" s="3">
        <v>69400</v>
      </c>
      <c r="C48" s="3">
        <v>57312</v>
      </c>
      <c r="D48" s="4">
        <f t="shared" si="3"/>
        <v>-1.6635021395981497</v>
      </c>
      <c r="E48" s="4">
        <f t="shared" si="2"/>
        <v>3.3337800211432178</v>
      </c>
      <c r="F48" s="4">
        <f t="shared" si="4"/>
        <v>1.9248445573876616</v>
      </c>
    </row>
    <row r="49" spans="1:6" x14ac:dyDescent="0.45">
      <c r="A49" s="2">
        <v>45717</v>
      </c>
      <c r="B49" s="3">
        <v>70270</v>
      </c>
      <c r="C49" s="3">
        <v>67400</v>
      </c>
      <c r="D49" s="4">
        <f t="shared" si="3"/>
        <v>1.2536023054755097</v>
      </c>
      <c r="E49" s="4">
        <f t="shared" si="2"/>
        <v>5.4234491035931365</v>
      </c>
      <c r="F49" s="4">
        <f t="shared" si="4"/>
        <v>-3.4581973830232093</v>
      </c>
    </row>
    <row r="50" spans="1:6" x14ac:dyDescent="0.45">
      <c r="A50" s="2">
        <v>45748</v>
      </c>
      <c r="B50" s="3">
        <v>70413</v>
      </c>
      <c r="C50" s="3">
        <v>71182</v>
      </c>
      <c r="D50" s="4">
        <f t="shared" si="3"/>
        <v>0.20350078269530947</v>
      </c>
      <c r="E50" s="4">
        <f t="shared" si="2"/>
        <v>4.7064596716630991</v>
      </c>
      <c r="F50" s="4">
        <f t="shared" si="4"/>
        <v>-0.90939952424216042</v>
      </c>
    </row>
    <row r="51" spans="1:6" x14ac:dyDescent="0.45">
      <c r="A51" s="2">
        <v>45778</v>
      </c>
      <c r="B51" s="3">
        <v>69613</v>
      </c>
      <c r="C51" s="3">
        <v>76832</v>
      </c>
      <c r="D51" s="4">
        <f t="shared" si="3"/>
        <v>-1.1361538352292921</v>
      </c>
      <c r="E51" s="4">
        <f t="shared" si="2"/>
        <v>4.08331090577434</v>
      </c>
      <c r="F51" s="4">
        <f t="shared" si="4"/>
        <v>1.2333291408246128</v>
      </c>
    </row>
    <row r="52" spans="1:6" x14ac:dyDescent="0.45">
      <c r="A52" s="2">
        <v>45809</v>
      </c>
      <c r="B52" s="3">
        <v>70579</v>
      </c>
      <c r="C52" s="3">
        <v>73175</v>
      </c>
      <c r="D52" s="4">
        <f t="shared" si="3"/>
        <v>1.3876718429029156</v>
      </c>
      <c r="E52" s="4">
        <f t="shared" si="2"/>
        <v>6.2264832485475985</v>
      </c>
      <c r="F52" s="4">
        <f t="shared" si="4"/>
        <v>1.770565769120247</v>
      </c>
    </row>
    <row r="53" spans="1:6" x14ac:dyDescent="0.45">
      <c r="A53" s="2">
        <v>45839</v>
      </c>
      <c r="B53" s="3">
        <v>70135</v>
      </c>
      <c r="C53" s="3">
        <v>74135</v>
      </c>
      <c r="D53" s="4">
        <f t="shared" si="3"/>
        <v>-0.62908230493489148</v>
      </c>
      <c r="E53" s="4">
        <f t="shared" si="2"/>
        <v>3.4637909923731725</v>
      </c>
      <c r="F53" s="4">
        <f t="shared" si="4"/>
        <v>-1.5699257637261987</v>
      </c>
    </row>
    <row r="54" spans="1:6" x14ac:dyDescent="0.45">
      <c r="A54" s="2">
        <v>45870</v>
      </c>
      <c r="B54" s="3">
        <v>70780</v>
      </c>
      <c r="C54" s="3">
        <v>73047</v>
      </c>
      <c r="D54" s="4">
        <f t="shared" si="3"/>
        <v>0.91965495116561602</v>
      </c>
      <c r="E54" s="4">
        <f t="shared" si="2"/>
        <v>4.6979468670492963</v>
      </c>
      <c r="F54" s="4">
        <f t="shared" si="4"/>
        <v>6.8761577156229325</v>
      </c>
    </row>
    <row r="55" spans="1:6" x14ac:dyDescent="0.45">
      <c r="A55" s="2">
        <v>45901</v>
      </c>
      <c r="B55" s="3">
        <v>70059</v>
      </c>
      <c r="C55" s="3">
        <v>69562</v>
      </c>
      <c r="D55" s="4">
        <f t="shared" si="3"/>
        <v>-1.0186493359706117</v>
      </c>
      <c r="E55" s="4">
        <f t="shared" si="2"/>
        <v>2.5438737723394</v>
      </c>
      <c r="F55" s="4">
        <f t="shared" si="4"/>
        <v>-2.9146427281337428</v>
      </c>
    </row>
    <row r="56" spans="1:6" x14ac:dyDescent="0.45">
      <c r="A56" s="2">
        <v>45931</v>
      </c>
      <c r="B56" s="3">
        <v>70113</v>
      </c>
      <c r="C56" s="3">
        <v>73102</v>
      </c>
      <c r="D56" s="4">
        <f t="shared" si="3"/>
        <v>7.7077891491450501E-2</v>
      </c>
      <c r="E56" s="4">
        <f t="shared" si="2"/>
        <v>1.5512296862779218</v>
      </c>
      <c r="F56" s="4">
        <f t="shared" si="4"/>
        <v>-0.12541327838881955</v>
      </c>
    </row>
    <row r="57" spans="1:6" x14ac:dyDescent="0.45">
      <c r="A57" s="2">
        <v>45962</v>
      </c>
      <c r="B57" s="3">
        <v>70985</v>
      </c>
      <c r="C57" s="3">
        <v>72846</v>
      </c>
      <c r="D57" s="4">
        <f t="shared" si="3"/>
        <v>1.2437065879366216</v>
      </c>
      <c r="E57" s="4">
        <f t="shared" si="2"/>
        <v>2.7725495873751171</v>
      </c>
      <c r="F57" s="4">
        <f t="shared" si="4"/>
        <v>1.1635622076941132</v>
      </c>
    </row>
    <row r="58" spans="1:6" x14ac:dyDescent="0.45">
      <c r="A58" s="2">
        <v>45992</v>
      </c>
      <c r="B58" s="3">
        <v>70709</v>
      </c>
      <c r="C58" s="3">
        <v>74514</v>
      </c>
      <c r="D58" s="4">
        <f t="shared" si="3"/>
        <v>-0.38881453828273349</v>
      </c>
      <c r="E58" s="4">
        <f t="shared" si="2"/>
        <v>-0.25673216628344653</v>
      </c>
      <c r="F58" s="4">
        <f t="shared" si="4"/>
        <v>3.7631255274895858</v>
      </c>
    </row>
    <row r="59" spans="1:6" x14ac:dyDescent="0.45">
      <c r="A59" s="2">
        <v>46023</v>
      </c>
      <c r="B59" s="3">
        <v>71591</v>
      </c>
      <c r="C59" s="3">
        <v>61584</v>
      </c>
      <c r="D59" s="4">
        <f t="shared" si="3"/>
        <v>1.247365964728675</v>
      </c>
      <c r="E59" s="4">
        <f t="shared" si="2"/>
        <v>1.4410406098563255</v>
      </c>
      <c r="F59" s="4">
        <f t="shared" si="4"/>
        <v>8.7024955641661794</v>
      </c>
    </row>
    <row r="60" spans="1:6" x14ac:dyDescent="0.45">
      <c r="A60" s="2">
        <v>46054</v>
      </c>
      <c r="B60" s="3">
        <v>72063</v>
      </c>
      <c r="C60" s="3">
        <v>59612</v>
      </c>
      <c r="D60" s="4">
        <f t="shared" si="3"/>
        <v>0.65930075009428268</v>
      </c>
      <c r="E60" s="4">
        <f t="shared" si="2"/>
        <v>3.837175792507197</v>
      </c>
      <c r="F60" s="4">
        <f t="shared" si="4"/>
        <v>6.2143033870602826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60"/>
  <sheetViews>
    <sheetView zoomScale="74" workbookViewId="0">
      <pane ySplit="1" topLeftCell="A29" activePane="bottomLeft" state="frozen"/>
      <selection pane="bottomLeft" activeCell="M34" sqref="M34:O60"/>
    </sheetView>
  </sheetViews>
  <sheetFormatPr defaultRowHeight="14.25" x14ac:dyDescent="0.45"/>
  <cols>
    <col min="1" max="1" width="11" customWidth="1"/>
    <col min="2" max="2" width="14" customWidth="1"/>
    <col min="3" max="3" width="16" customWidth="1"/>
    <col min="4" max="4" width="14" customWidth="1"/>
    <col min="5" max="5" width="12" customWidth="1"/>
    <col min="6" max="6" width="14" customWidth="1"/>
    <col min="7" max="8" width="12" customWidth="1"/>
    <col min="9" max="9" width="14" customWidth="1"/>
    <col min="10" max="10" width="12" customWidth="1"/>
  </cols>
  <sheetData>
    <row r="1" spans="1:10" ht="22.05" customHeight="1" x14ac:dyDescent="0.45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 x14ac:dyDescent="0.45">
      <c r="A2" s="2">
        <v>44287</v>
      </c>
      <c r="B2" s="3">
        <v>58413</v>
      </c>
      <c r="C2" s="3">
        <v>42041</v>
      </c>
      <c r="D2" s="3">
        <v>36571</v>
      </c>
    </row>
    <row r="3" spans="1:10" x14ac:dyDescent="0.45">
      <c r="A3" s="2">
        <v>44317</v>
      </c>
      <c r="B3" s="3">
        <v>57035</v>
      </c>
      <c r="C3" s="3">
        <v>41176</v>
      </c>
      <c r="D3" s="3">
        <v>35735</v>
      </c>
      <c r="E3" s="4">
        <f t="shared" ref="E3:E34" si="0">IFERROR((B3/B2-1)*100,"")</f>
        <v>-2.3590639070069974</v>
      </c>
      <c r="F3" s="4">
        <f t="shared" ref="F3:F34" si="1">IFERROR((C3/C2-1)*100,"")</f>
        <v>-2.0575152827002174</v>
      </c>
      <c r="G3" s="4">
        <f t="shared" ref="G3:G34" si="2">IFERROR((D3/D2-1)*100,"")</f>
        <v>-2.2859642886440046</v>
      </c>
    </row>
    <row r="4" spans="1:10" x14ac:dyDescent="0.45">
      <c r="A4" s="2">
        <v>44348</v>
      </c>
      <c r="B4" s="3">
        <v>59665</v>
      </c>
      <c r="C4" s="3">
        <v>43654</v>
      </c>
      <c r="D4" s="3">
        <v>37960</v>
      </c>
      <c r="E4" s="4">
        <f t="shared" si="0"/>
        <v>4.6112036468834994</v>
      </c>
      <c r="F4" s="4">
        <f t="shared" si="1"/>
        <v>6.0180687779288977</v>
      </c>
      <c r="G4" s="4">
        <f t="shared" si="2"/>
        <v>6.2263886945571612</v>
      </c>
    </row>
    <row r="5" spans="1:10" x14ac:dyDescent="0.45">
      <c r="A5" s="2">
        <v>44378</v>
      </c>
      <c r="B5" s="3">
        <v>60203</v>
      </c>
      <c r="C5" s="3">
        <v>43819</v>
      </c>
      <c r="D5" s="3">
        <v>37945</v>
      </c>
      <c r="E5" s="4">
        <f t="shared" si="0"/>
        <v>0.90170116483700991</v>
      </c>
      <c r="F5" s="4">
        <f t="shared" si="1"/>
        <v>0.37797223622120235</v>
      </c>
      <c r="G5" s="4">
        <f t="shared" si="2"/>
        <v>-3.9515279241308932E-2</v>
      </c>
    </row>
    <row r="6" spans="1:10" x14ac:dyDescent="0.45">
      <c r="A6" s="2">
        <v>44409</v>
      </c>
      <c r="B6" s="3">
        <v>61117</v>
      </c>
      <c r="C6" s="3">
        <v>44642</v>
      </c>
      <c r="D6" s="3">
        <v>38538</v>
      </c>
      <c r="E6" s="4">
        <f t="shared" si="0"/>
        <v>1.5181967676029418</v>
      </c>
      <c r="F6" s="4">
        <f t="shared" si="1"/>
        <v>1.8781806978707793</v>
      </c>
      <c r="G6" s="4">
        <f t="shared" si="2"/>
        <v>1.5627882461457299</v>
      </c>
    </row>
    <row r="7" spans="1:10" x14ac:dyDescent="0.45">
      <c r="A7" s="2">
        <v>44440</v>
      </c>
      <c r="B7" s="3">
        <v>60798</v>
      </c>
      <c r="C7" s="3">
        <v>44689</v>
      </c>
      <c r="D7" s="3">
        <v>38587</v>
      </c>
      <c r="E7" s="4">
        <f t="shared" si="0"/>
        <v>-0.52194970302861243</v>
      </c>
      <c r="F7" s="4">
        <f t="shared" si="1"/>
        <v>0.1052820214148209</v>
      </c>
      <c r="G7" s="4">
        <f t="shared" si="2"/>
        <v>0.12714723130415884</v>
      </c>
    </row>
    <row r="8" spans="1:10" x14ac:dyDescent="0.45">
      <c r="A8" s="2">
        <v>44470</v>
      </c>
      <c r="B8" s="3">
        <v>61718</v>
      </c>
      <c r="C8" s="3">
        <v>45264</v>
      </c>
      <c r="D8" s="3">
        <v>39053</v>
      </c>
      <c r="E8" s="4">
        <f t="shared" si="0"/>
        <v>1.5132076713049836</v>
      </c>
      <c r="F8" s="4">
        <f t="shared" si="1"/>
        <v>1.286670097786935</v>
      </c>
      <c r="G8" s="4">
        <f t="shared" si="2"/>
        <v>1.2076606110866361</v>
      </c>
    </row>
    <row r="9" spans="1:10" x14ac:dyDescent="0.45">
      <c r="A9" s="2">
        <v>44501</v>
      </c>
      <c r="B9" s="3">
        <v>62372</v>
      </c>
      <c r="C9" s="3">
        <v>45963</v>
      </c>
      <c r="D9" s="3">
        <v>39551</v>
      </c>
      <c r="E9" s="4">
        <f t="shared" si="0"/>
        <v>1.0596584464823922</v>
      </c>
      <c r="F9" s="4">
        <f t="shared" si="1"/>
        <v>1.5442735949098729</v>
      </c>
      <c r="G9" s="4">
        <f t="shared" si="2"/>
        <v>1.2751901262387122</v>
      </c>
    </row>
    <row r="10" spans="1:10" x14ac:dyDescent="0.45">
      <c r="A10" s="2">
        <v>44531</v>
      </c>
      <c r="B10" s="3">
        <v>61336</v>
      </c>
      <c r="C10" s="3">
        <v>44810</v>
      </c>
      <c r="D10" s="3">
        <v>38544</v>
      </c>
      <c r="E10" s="4">
        <f t="shared" si="0"/>
        <v>-1.6610017315462078</v>
      </c>
      <c r="F10" s="4">
        <f t="shared" si="1"/>
        <v>-2.5085394774057357</v>
      </c>
      <c r="G10" s="4">
        <f t="shared" si="2"/>
        <v>-2.5460797451391848</v>
      </c>
    </row>
    <row r="11" spans="1:10" x14ac:dyDescent="0.45">
      <c r="A11" s="2">
        <v>44562</v>
      </c>
      <c r="B11" s="3">
        <v>62902</v>
      </c>
      <c r="C11" s="3">
        <v>45688</v>
      </c>
      <c r="D11" s="3">
        <v>39483</v>
      </c>
      <c r="E11" s="4">
        <f t="shared" si="0"/>
        <v>2.553149863049442</v>
      </c>
      <c r="F11" s="4">
        <f t="shared" si="1"/>
        <v>1.9593840660566908</v>
      </c>
      <c r="G11" s="4">
        <f t="shared" si="2"/>
        <v>2.4361768368617698</v>
      </c>
    </row>
    <row r="12" spans="1:10" x14ac:dyDescent="0.45">
      <c r="A12" s="2">
        <v>44593</v>
      </c>
      <c r="B12" s="3">
        <v>63226</v>
      </c>
      <c r="C12" s="3">
        <v>46926</v>
      </c>
      <c r="D12" s="3">
        <v>40050</v>
      </c>
      <c r="E12" s="4">
        <f t="shared" si="0"/>
        <v>0.51508696066897564</v>
      </c>
      <c r="F12" s="4">
        <f t="shared" si="1"/>
        <v>2.7096830677639572</v>
      </c>
      <c r="G12" s="4">
        <f t="shared" si="2"/>
        <v>1.4360610895828518</v>
      </c>
    </row>
    <row r="13" spans="1:10" x14ac:dyDescent="0.45">
      <c r="A13" s="2">
        <v>44621</v>
      </c>
      <c r="B13" s="3">
        <v>64010</v>
      </c>
      <c r="C13" s="3">
        <v>48276</v>
      </c>
      <c r="D13" s="3">
        <v>40660</v>
      </c>
      <c r="E13" s="4">
        <f t="shared" si="0"/>
        <v>1.2399962040932522</v>
      </c>
      <c r="F13" s="4">
        <f t="shared" si="1"/>
        <v>2.8768699654775576</v>
      </c>
      <c r="G13" s="4">
        <f t="shared" si="2"/>
        <v>1.5230961298376977</v>
      </c>
    </row>
    <row r="14" spans="1:10" x14ac:dyDescent="0.45">
      <c r="A14" s="2">
        <v>44652</v>
      </c>
      <c r="B14" s="3">
        <v>64084</v>
      </c>
      <c r="C14" s="3">
        <v>48314</v>
      </c>
      <c r="D14" s="3">
        <v>40538</v>
      </c>
      <c r="E14" s="4">
        <f t="shared" si="0"/>
        <v>0.11560693641619046</v>
      </c>
      <c r="F14" s="4">
        <f t="shared" si="1"/>
        <v>7.8714060816964526E-2</v>
      </c>
      <c r="G14" s="4">
        <f t="shared" si="2"/>
        <v>-0.30004918839153794</v>
      </c>
      <c r="H14" s="4">
        <f t="shared" ref="H14:H60" si="3">IFERROR((B14/B2-1)*100,"")</f>
        <v>9.7084553096057356</v>
      </c>
      <c r="I14" s="4">
        <f t="shared" ref="I14:I60" si="4">IFERROR((C14/C2-1)*100,"")</f>
        <v>14.921148402749695</v>
      </c>
      <c r="J14" s="4">
        <f t="shared" ref="J14:J60" si="5">IFERROR((D14/D2-1)*100,"")</f>
        <v>10.847392742883709</v>
      </c>
    </row>
    <row r="15" spans="1:10" x14ac:dyDescent="0.45">
      <c r="A15" s="2">
        <v>44682</v>
      </c>
      <c r="B15" s="3">
        <v>65992</v>
      </c>
      <c r="C15" s="3">
        <v>49594</v>
      </c>
      <c r="D15" s="3">
        <v>40971</v>
      </c>
      <c r="E15" s="4">
        <f t="shared" si="0"/>
        <v>2.9773422383122083</v>
      </c>
      <c r="F15" s="4">
        <f t="shared" si="1"/>
        <v>2.6493355963074894</v>
      </c>
      <c r="G15" s="4">
        <f t="shared" si="2"/>
        <v>1.0681336030391231</v>
      </c>
      <c r="H15" s="4">
        <f t="shared" si="3"/>
        <v>15.704392039975446</v>
      </c>
      <c r="I15" s="4">
        <f t="shared" si="4"/>
        <v>20.443947930833506</v>
      </c>
      <c r="J15" s="4">
        <f t="shared" si="5"/>
        <v>14.652301665034283</v>
      </c>
    </row>
    <row r="16" spans="1:10" x14ac:dyDescent="0.45">
      <c r="A16" s="2">
        <v>44713</v>
      </c>
      <c r="B16" s="3">
        <v>66813</v>
      </c>
      <c r="C16" s="3">
        <v>50227</v>
      </c>
      <c r="D16" s="3">
        <v>41379</v>
      </c>
      <c r="E16" s="4">
        <f t="shared" si="0"/>
        <v>1.2440901927506465</v>
      </c>
      <c r="F16" s="4">
        <f t="shared" si="1"/>
        <v>1.2763640762995632</v>
      </c>
      <c r="G16" s="4">
        <f t="shared" si="2"/>
        <v>0.99582631617485262</v>
      </c>
      <c r="H16" s="4">
        <f t="shared" si="3"/>
        <v>11.980222911254511</v>
      </c>
      <c r="I16" s="4">
        <f t="shared" si="4"/>
        <v>15.057039446557008</v>
      </c>
      <c r="J16" s="4">
        <f t="shared" si="5"/>
        <v>9.0068493150685001</v>
      </c>
    </row>
    <row r="17" spans="1:10" x14ac:dyDescent="0.45">
      <c r="A17" s="2">
        <v>44743</v>
      </c>
      <c r="B17" s="3">
        <v>64912</v>
      </c>
      <c r="C17" s="3">
        <v>48469</v>
      </c>
      <c r="D17" s="3">
        <v>40868</v>
      </c>
      <c r="E17" s="4">
        <f t="shared" si="0"/>
        <v>-2.8452546660081124</v>
      </c>
      <c r="F17" s="4">
        <f t="shared" si="1"/>
        <v>-3.5001095028570295</v>
      </c>
      <c r="G17" s="4">
        <f t="shared" si="2"/>
        <v>-1.2349259286111303</v>
      </c>
      <c r="H17" s="4">
        <f t="shared" si="3"/>
        <v>7.8218693420593732</v>
      </c>
      <c r="I17" s="4">
        <f t="shared" si="4"/>
        <v>10.611835048723162</v>
      </c>
      <c r="J17" s="4">
        <f t="shared" si="5"/>
        <v>7.7032547107655835</v>
      </c>
    </row>
    <row r="18" spans="1:10" x14ac:dyDescent="0.45">
      <c r="A18" s="2">
        <v>44774</v>
      </c>
      <c r="B18" s="3">
        <v>65182</v>
      </c>
      <c r="C18" s="3">
        <v>48669</v>
      </c>
      <c r="D18" s="3">
        <v>41271</v>
      </c>
      <c r="E18" s="4">
        <f t="shared" si="0"/>
        <v>0.41594774463888928</v>
      </c>
      <c r="F18" s="4">
        <f t="shared" si="1"/>
        <v>0.41263488002640791</v>
      </c>
      <c r="G18" s="4">
        <f t="shared" si="2"/>
        <v>0.98610159538023989</v>
      </c>
      <c r="H18" s="4">
        <f t="shared" si="3"/>
        <v>6.6511772501922639</v>
      </c>
      <c r="I18" s="4">
        <f t="shared" si="4"/>
        <v>9.0206531965413728</v>
      </c>
      <c r="J18" s="4">
        <f t="shared" si="5"/>
        <v>7.0917016970263091</v>
      </c>
    </row>
    <row r="19" spans="1:10" x14ac:dyDescent="0.45">
      <c r="A19" s="2">
        <v>44805</v>
      </c>
      <c r="B19" s="3">
        <v>64874</v>
      </c>
      <c r="C19" s="3">
        <v>48191</v>
      </c>
      <c r="D19" s="3">
        <v>41167</v>
      </c>
      <c r="E19" s="4">
        <f t="shared" si="0"/>
        <v>-0.47252308919640829</v>
      </c>
      <c r="F19" s="4">
        <f t="shared" si="1"/>
        <v>-0.98214469169286556</v>
      </c>
      <c r="G19" s="4">
        <f t="shared" si="2"/>
        <v>-0.25199292481403734</v>
      </c>
      <c r="H19" s="4">
        <f t="shared" si="3"/>
        <v>6.704167900259872</v>
      </c>
      <c r="I19" s="4">
        <f t="shared" si="4"/>
        <v>7.8363803173040258</v>
      </c>
      <c r="J19" s="4">
        <f t="shared" si="5"/>
        <v>6.6861896493637829</v>
      </c>
    </row>
    <row r="20" spans="1:10" x14ac:dyDescent="0.45">
      <c r="A20" s="2">
        <v>44835</v>
      </c>
      <c r="B20" s="3">
        <v>65505</v>
      </c>
      <c r="C20" s="3">
        <v>48818</v>
      </c>
      <c r="D20" s="3">
        <v>41213</v>
      </c>
      <c r="E20" s="4">
        <f t="shared" si="0"/>
        <v>0.97265468446527947</v>
      </c>
      <c r="F20" s="4">
        <f t="shared" si="1"/>
        <v>1.3010728144259298</v>
      </c>
      <c r="G20" s="4">
        <f t="shared" si="2"/>
        <v>0.11173998591105239</v>
      </c>
      <c r="H20" s="4">
        <f t="shared" si="3"/>
        <v>6.1359732979033632</v>
      </c>
      <c r="I20" s="4">
        <f t="shared" si="4"/>
        <v>7.8517143867090855</v>
      </c>
      <c r="J20" s="4">
        <f t="shared" si="5"/>
        <v>5.5309451258546138</v>
      </c>
    </row>
    <row r="21" spans="1:10" x14ac:dyDescent="0.45">
      <c r="A21" s="2">
        <v>44866</v>
      </c>
      <c r="B21" s="3">
        <v>65322</v>
      </c>
      <c r="C21" s="3">
        <v>48592</v>
      </c>
      <c r="D21" s="3">
        <v>41071</v>
      </c>
      <c r="E21" s="4">
        <f t="shared" si="0"/>
        <v>-0.27936798717654865</v>
      </c>
      <c r="F21" s="4">
        <f t="shared" si="1"/>
        <v>-0.4629439960670223</v>
      </c>
      <c r="G21" s="4">
        <f t="shared" si="2"/>
        <v>-0.34455147647587392</v>
      </c>
      <c r="H21" s="4">
        <f t="shared" si="3"/>
        <v>4.7296863977425829</v>
      </c>
      <c r="I21" s="4">
        <f t="shared" si="4"/>
        <v>5.7198181145704075</v>
      </c>
      <c r="J21" s="4">
        <f t="shared" si="5"/>
        <v>3.8431392379459473</v>
      </c>
    </row>
    <row r="22" spans="1:10" x14ac:dyDescent="0.45">
      <c r="A22" s="2">
        <v>44896</v>
      </c>
      <c r="B22" s="3">
        <v>64724</v>
      </c>
      <c r="C22" s="3">
        <v>47898</v>
      </c>
      <c r="D22" s="3">
        <v>41038</v>
      </c>
      <c r="E22" s="4">
        <f t="shared" si="0"/>
        <v>-0.91546492758948217</v>
      </c>
      <c r="F22" s="4">
        <f t="shared" si="1"/>
        <v>-1.4282186368126393</v>
      </c>
      <c r="G22" s="4">
        <f t="shared" si="2"/>
        <v>-8.0348664507801093E-2</v>
      </c>
      <c r="H22" s="4">
        <f t="shared" si="3"/>
        <v>5.5236728837876559</v>
      </c>
      <c r="I22" s="4">
        <f t="shared" si="4"/>
        <v>6.8913189020308074</v>
      </c>
      <c r="J22" s="4">
        <f t="shared" si="5"/>
        <v>6.4705271897052663</v>
      </c>
    </row>
    <row r="23" spans="1:10" x14ac:dyDescent="0.45">
      <c r="A23" s="2">
        <v>44927</v>
      </c>
      <c r="B23" s="3">
        <v>66337</v>
      </c>
      <c r="C23" s="3">
        <v>48241</v>
      </c>
      <c r="D23" s="3">
        <v>41350</v>
      </c>
      <c r="E23" s="4">
        <f t="shared" si="0"/>
        <v>2.4921203881095089</v>
      </c>
      <c r="F23" s="4">
        <f t="shared" si="1"/>
        <v>0.71610505657855317</v>
      </c>
      <c r="G23" s="4">
        <f t="shared" si="2"/>
        <v>0.76027096837076868</v>
      </c>
      <c r="H23" s="4">
        <f t="shared" si="3"/>
        <v>5.46087564783313</v>
      </c>
      <c r="I23" s="4">
        <f t="shared" si="4"/>
        <v>5.5879005428121076</v>
      </c>
      <c r="J23" s="4">
        <f t="shared" si="5"/>
        <v>4.7286173796317499</v>
      </c>
    </row>
    <row r="24" spans="1:10" x14ac:dyDescent="0.45">
      <c r="A24" s="2">
        <v>44958</v>
      </c>
      <c r="B24" s="3">
        <v>65394</v>
      </c>
      <c r="C24" s="3">
        <v>47683</v>
      </c>
      <c r="D24" s="3">
        <v>41026</v>
      </c>
      <c r="E24" s="4">
        <f t="shared" si="0"/>
        <v>-1.4215294631955033</v>
      </c>
      <c r="F24" s="4">
        <f t="shared" si="1"/>
        <v>-1.1566924400406298</v>
      </c>
      <c r="G24" s="4">
        <f t="shared" si="2"/>
        <v>-0.78355501813784922</v>
      </c>
      <c r="H24" s="4">
        <f t="shared" si="3"/>
        <v>3.4289690949925733</v>
      </c>
      <c r="I24" s="4">
        <f t="shared" si="4"/>
        <v>1.6131781954566771</v>
      </c>
      <c r="J24" s="4">
        <f t="shared" si="5"/>
        <v>2.4369538077403163</v>
      </c>
    </row>
    <row r="25" spans="1:10" x14ac:dyDescent="0.45">
      <c r="A25" s="2">
        <v>44986</v>
      </c>
      <c r="B25" s="3">
        <v>65152</v>
      </c>
      <c r="C25" s="3">
        <v>48036</v>
      </c>
      <c r="D25" s="3">
        <v>41476</v>
      </c>
      <c r="E25" s="4">
        <f t="shared" si="0"/>
        <v>-0.37006453191423816</v>
      </c>
      <c r="F25" s="4">
        <f t="shared" si="1"/>
        <v>0.74030576935175674</v>
      </c>
      <c r="G25" s="4">
        <f t="shared" si="2"/>
        <v>1.0968654024277269</v>
      </c>
      <c r="H25" s="4">
        <f t="shared" si="3"/>
        <v>1.7840962349632949</v>
      </c>
      <c r="I25" s="4">
        <f t="shared" si="4"/>
        <v>-0.49714143673875721</v>
      </c>
      <c r="J25" s="4">
        <f t="shared" si="5"/>
        <v>2.0068863748155419</v>
      </c>
    </row>
    <row r="26" spans="1:10" x14ac:dyDescent="0.45">
      <c r="A26" s="2">
        <v>45017</v>
      </c>
      <c r="B26" s="3">
        <v>65544</v>
      </c>
      <c r="C26" s="3">
        <v>48230</v>
      </c>
      <c r="D26" s="3">
        <v>41769</v>
      </c>
      <c r="E26" s="4">
        <f t="shared" si="0"/>
        <v>0.60166994106090055</v>
      </c>
      <c r="F26" s="4">
        <f t="shared" si="1"/>
        <v>0.40386376884002928</v>
      </c>
      <c r="G26" s="4">
        <f t="shared" si="2"/>
        <v>0.70643263574114989</v>
      </c>
      <c r="H26" s="4">
        <f t="shared" si="3"/>
        <v>2.2782597840334651</v>
      </c>
      <c r="I26" s="4">
        <f t="shared" si="4"/>
        <v>-0.17386264850768329</v>
      </c>
      <c r="J26" s="4">
        <f t="shared" si="5"/>
        <v>3.0366569638363927</v>
      </c>
    </row>
    <row r="27" spans="1:10" x14ac:dyDescent="0.45">
      <c r="A27" s="2">
        <v>45047</v>
      </c>
      <c r="B27" s="3">
        <v>65912</v>
      </c>
      <c r="C27" s="3">
        <v>48448</v>
      </c>
      <c r="D27" s="3">
        <v>42077</v>
      </c>
      <c r="E27" s="4">
        <f t="shared" si="0"/>
        <v>0.56145490052483815</v>
      </c>
      <c r="F27" s="4">
        <f t="shared" si="1"/>
        <v>0.45200082935932251</v>
      </c>
      <c r="G27" s="4">
        <f t="shared" si="2"/>
        <v>0.73738897268309511</v>
      </c>
      <c r="H27" s="4">
        <f t="shared" si="3"/>
        <v>-0.12122681537155566</v>
      </c>
      <c r="I27" s="4">
        <f t="shared" si="4"/>
        <v>-2.3107633987982434</v>
      </c>
      <c r="J27" s="4">
        <f t="shared" si="5"/>
        <v>2.6994703570818457</v>
      </c>
    </row>
    <row r="28" spans="1:10" x14ac:dyDescent="0.45">
      <c r="A28" s="2">
        <v>45078</v>
      </c>
      <c r="B28" s="3">
        <v>65999</v>
      </c>
      <c r="C28" s="3">
        <v>47950</v>
      </c>
      <c r="D28" s="3">
        <v>41522</v>
      </c>
      <c r="E28" s="4">
        <f t="shared" si="0"/>
        <v>0.13199417405025393</v>
      </c>
      <c r="F28" s="4">
        <f t="shared" si="1"/>
        <v>-1.0279062087186208</v>
      </c>
      <c r="G28" s="4">
        <f t="shared" si="2"/>
        <v>-1.3190103857214197</v>
      </c>
      <c r="H28" s="4">
        <f t="shared" si="3"/>
        <v>-1.218325774924045</v>
      </c>
      <c r="I28" s="4">
        <f t="shared" si="4"/>
        <v>-4.5334182810042423</v>
      </c>
      <c r="J28" s="4">
        <f t="shared" si="5"/>
        <v>0.34558592522777598</v>
      </c>
    </row>
    <row r="29" spans="1:10" x14ac:dyDescent="0.45">
      <c r="A29" s="2">
        <v>45108</v>
      </c>
      <c r="B29" s="3">
        <v>65934</v>
      </c>
      <c r="C29" s="3">
        <v>48290</v>
      </c>
      <c r="D29" s="3">
        <v>41931</v>
      </c>
      <c r="E29" s="4">
        <f t="shared" si="0"/>
        <v>-9.8486340702130803E-2</v>
      </c>
      <c r="F29" s="4">
        <f t="shared" si="1"/>
        <v>0.70907194994787037</v>
      </c>
      <c r="G29" s="4">
        <f t="shared" si="2"/>
        <v>0.985019989403213</v>
      </c>
      <c r="H29" s="4">
        <f t="shared" si="3"/>
        <v>1.5744392408183483</v>
      </c>
      <c r="I29" s="4">
        <f t="shared" si="4"/>
        <v>-0.36930821762363175</v>
      </c>
      <c r="J29" s="4">
        <f t="shared" si="5"/>
        <v>2.601057061759815</v>
      </c>
    </row>
    <row r="30" spans="1:10" x14ac:dyDescent="0.45">
      <c r="A30" s="2">
        <v>45139</v>
      </c>
      <c r="B30" s="3">
        <v>65929</v>
      </c>
      <c r="C30" s="3">
        <v>48588</v>
      </c>
      <c r="D30" s="3">
        <v>41925</v>
      </c>
      <c r="E30" s="4">
        <f t="shared" si="0"/>
        <v>-7.5833409166725652E-3</v>
      </c>
      <c r="F30" s="4">
        <f t="shared" si="1"/>
        <v>0.61710499068130531</v>
      </c>
      <c r="G30" s="4">
        <f t="shared" si="2"/>
        <v>-1.4309222293773516E-2</v>
      </c>
      <c r="H30" s="4">
        <f t="shared" si="3"/>
        <v>1.1460219078886835</v>
      </c>
      <c r="I30" s="4">
        <f t="shared" si="4"/>
        <v>-0.16643037662578131</v>
      </c>
      <c r="J30" s="4">
        <f t="shared" si="5"/>
        <v>1.5846478156574806</v>
      </c>
    </row>
    <row r="31" spans="1:10" x14ac:dyDescent="0.45">
      <c r="A31" s="2">
        <v>45170</v>
      </c>
      <c r="B31" s="3">
        <v>66732</v>
      </c>
      <c r="C31" s="3">
        <v>48590</v>
      </c>
      <c r="D31" s="3">
        <v>41756</v>
      </c>
      <c r="E31" s="4">
        <f t="shared" si="0"/>
        <v>1.2179769145596042</v>
      </c>
      <c r="F31" s="4">
        <f t="shared" si="1"/>
        <v>4.116242693674721E-3</v>
      </c>
      <c r="G31" s="4">
        <f t="shared" si="2"/>
        <v>-0.40310077519379872</v>
      </c>
      <c r="H31" s="4">
        <f t="shared" si="3"/>
        <v>2.8640133181243588</v>
      </c>
      <c r="I31" s="4">
        <f t="shared" si="4"/>
        <v>0.82795542736195937</v>
      </c>
      <c r="J31" s="4">
        <f t="shared" si="5"/>
        <v>1.4307576456870752</v>
      </c>
    </row>
    <row r="32" spans="1:10" x14ac:dyDescent="0.45">
      <c r="A32" s="2">
        <v>45200</v>
      </c>
      <c r="B32" s="3">
        <v>66669</v>
      </c>
      <c r="C32" s="3">
        <v>48645</v>
      </c>
      <c r="D32" s="3">
        <v>42041</v>
      </c>
      <c r="E32" s="4">
        <f t="shared" si="0"/>
        <v>-9.4407480668945443E-2</v>
      </c>
      <c r="F32" s="4">
        <f t="shared" si="1"/>
        <v>0.11319201481785335</v>
      </c>
      <c r="G32" s="4">
        <f t="shared" si="2"/>
        <v>0.68253664144075632</v>
      </c>
      <c r="H32" s="4">
        <f t="shared" si="3"/>
        <v>1.7769635905656056</v>
      </c>
      <c r="I32" s="4">
        <f t="shared" si="4"/>
        <v>-0.3543774837150182</v>
      </c>
      <c r="J32" s="4">
        <f t="shared" si="5"/>
        <v>2.0090748064931052</v>
      </c>
    </row>
    <row r="33" spans="1:15" x14ac:dyDescent="0.45">
      <c r="A33" s="2">
        <v>45231</v>
      </c>
      <c r="B33" s="3">
        <v>66441</v>
      </c>
      <c r="C33" s="3">
        <v>48445</v>
      </c>
      <c r="D33" s="3">
        <v>41850</v>
      </c>
      <c r="E33" s="4">
        <f t="shared" si="0"/>
        <v>-0.34198803041893822</v>
      </c>
      <c r="F33" s="4">
        <f t="shared" si="1"/>
        <v>-0.4111419467571209</v>
      </c>
      <c r="G33" s="4">
        <f t="shared" si="2"/>
        <v>-0.454318403463283</v>
      </c>
      <c r="H33" s="4">
        <f t="shared" si="3"/>
        <v>1.7130522641682688</v>
      </c>
      <c r="I33" s="4">
        <f t="shared" si="4"/>
        <v>-0.30251893315772493</v>
      </c>
      <c r="J33" s="4">
        <f t="shared" si="5"/>
        <v>1.8967154439872402</v>
      </c>
    </row>
    <row r="34" spans="1:15" x14ac:dyDescent="0.45">
      <c r="A34" s="2">
        <v>45261</v>
      </c>
      <c r="B34" s="3">
        <v>66327</v>
      </c>
      <c r="C34" s="3">
        <v>48160</v>
      </c>
      <c r="D34" s="3">
        <v>41727</v>
      </c>
      <c r="E34" s="4">
        <f t="shared" si="0"/>
        <v>-0.17158080101142836</v>
      </c>
      <c r="F34" s="4">
        <f t="shared" si="1"/>
        <v>-0.58829600577975372</v>
      </c>
      <c r="G34" s="4">
        <f t="shared" si="2"/>
        <v>-0.29390681003583774</v>
      </c>
      <c r="H34" s="4">
        <f t="shared" si="3"/>
        <v>2.4766701687163994</v>
      </c>
      <c r="I34" s="4">
        <f t="shared" si="4"/>
        <v>0.54699569919411939</v>
      </c>
      <c r="J34" s="4">
        <f t="shared" si="5"/>
        <v>1.6789317218188105</v>
      </c>
      <c r="M34" t="s">
        <v>89</v>
      </c>
      <c r="N34" t="s">
        <v>90</v>
      </c>
      <c r="O34" t="s">
        <v>91</v>
      </c>
    </row>
    <row r="35" spans="1:15" x14ac:dyDescent="0.45">
      <c r="A35" s="2">
        <v>45292</v>
      </c>
      <c r="B35" s="3">
        <v>67090</v>
      </c>
      <c r="C35" s="3">
        <v>49223</v>
      </c>
      <c r="D35" s="3">
        <v>42794</v>
      </c>
      <c r="E35" s="4">
        <f t="shared" ref="E35:E60" si="6">IFERROR((B35/B34-1)*100,"")</f>
        <v>1.1503610897522831</v>
      </c>
      <c r="F35" s="4">
        <f t="shared" ref="F35:F60" si="7">IFERROR((C35/C34-1)*100,"")</f>
        <v>2.207225913621258</v>
      </c>
      <c r="G35" s="4">
        <f t="shared" ref="G35:G60" si="8">IFERROR((D35/D34-1)*100,"")</f>
        <v>2.5570973230761851</v>
      </c>
      <c r="H35" s="4">
        <f t="shared" si="3"/>
        <v>1.13511313444985</v>
      </c>
      <c r="I35" s="4">
        <f t="shared" si="4"/>
        <v>2.0356128604299251</v>
      </c>
      <c r="J35" s="4">
        <f t="shared" si="5"/>
        <v>3.4921402660217593</v>
      </c>
      <c r="M35">
        <f>B35/B$35*100</f>
        <v>100</v>
      </c>
      <c r="N35">
        <f t="shared" ref="N35:O50" si="9">C35/C$35*100</f>
        <v>100</v>
      </c>
      <c r="O35">
        <f t="shared" si="9"/>
        <v>100</v>
      </c>
    </row>
    <row r="36" spans="1:15" x14ac:dyDescent="0.45">
      <c r="A36" s="2">
        <v>45323</v>
      </c>
      <c r="B36" s="3">
        <v>67161</v>
      </c>
      <c r="C36" s="3">
        <v>49015</v>
      </c>
      <c r="D36" s="3">
        <v>42665</v>
      </c>
      <c r="E36" s="4">
        <f t="shared" si="6"/>
        <v>0.1058279922492078</v>
      </c>
      <c r="F36" s="4">
        <f t="shared" si="7"/>
        <v>-0.42256668630518135</v>
      </c>
      <c r="G36" s="4">
        <f t="shared" si="8"/>
        <v>-0.30144412768144946</v>
      </c>
      <c r="H36" s="4">
        <f t="shared" si="3"/>
        <v>2.7020827598862374</v>
      </c>
      <c r="I36" s="4">
        <f t="shared" si="4"/>
        <v>2.7934483988004022</v>
      </c>
      <c r="J36" s="4">
        <f t="shared" si="5"/>
        <v>3.9950275435089999</v>
      </c>
      <c r="M36">
        <f t="shared" ref="M36:M60" si="10">B36/B$35*100</f>
        <v>100.1058279922492</v>
      </c>
      <c r="N36">
        <f t="shared" si="9"/>
        <v>99.577433313694826</v>
      </c>
      <c r="O36">
        <f t="shared" si="9"/>
        <v>99.698555872318551</v>
      </c>
    </row>
    <row r="37" spans="1:15" x14ac:dyDescent="0.45">
      <c r="A37" s="2">
        <v>45352</v>
      </c>
      <c r="B37" s="3">
        <v>66655</v>
      </c>
      <c r="C37" s="3">
        <v>48779</v>
      </c>
      <c r="D37" s="3">
        <v>42387</v>
      </c>
      <c r="E37" s="4">
        <f t="shared" si="6"/>
        <v>-0.75341343934723914</v>
      </c>
      <c r="F37" s="4">
        <f t="shared" si="7"/>
        <v>-0.48148525961440036</v>
      </c>
      <c r="G37" s="4">
        <f t="shared" si="8"/>
        <v>-0.65158795265439773</v>
      </c>
      <c r="H37" s="4">
        <f t="shared" si="3"/>
        <v>2.3069130648330161</v>
      </c>
      <c r="I37" s="4">
        <f t="shared" si="4"/>
        <v>1.5467565992172583</v>
      </c>
      <c r="J37" s="4">
        <f t="shared" si="5"/>
        <v>2.1964509595910897</v>
      </c>
      <c r="M37">
        <f t="shared" si="10"/>
        <v>99.351617230585774</v>
      </c>
      <c r="N37">
        <f t="shared" si="9"/>
        <v>99.097982650387024</v>
      </c>
      <c r="O37">
        <f t="shared" si="9"/>
        <v>99.048932093284108</v>
      </c>
    </row>
    <row r="38" spans="1:15" x14ac:dyDescent="0.45">
      <c r="A38" s="2">
        <v>45383</v>
      </c>
      <c r="B38" s="3">
        <v>67248</v>
      </c>
      <c r="C38" s="3">
        <v>49741</v>
      </c>
      <c r="D38" s="3">
        <v>43100</v>
      </c>
      <c r="E38" s="4">
        <f t="shared" si="6"/>
        <v>0.8896556897457053</v>
      </c>
      <c r="F38" s="4">
        <f t="shared" si="7"/>
        <v>1.9721601508845943</v>
      </c>
      <c r="G38" s="4">
        <f t="shared" si="8"/>
        <v>1.6821195177766812</v>
      </c>
      <c r="H38" s="4">
        <f t="shared" si="3"/>
        <v>2.5997803002563158</v>
      </c>
      <c r="I38" s="4">
        <f t="shared" si="4"/>
        <v>3.1329048310180463</v>
      </c>
      <c r="J38" s="4">
        <f t="shared" si="5"/>
        <v>3.186573774809065</v>
      </c>
      <c r="M38">
        <f t="shared" si="10"/>
        <v>100.23550454613206</v>
      </c>
      <c r="N38">
        <f t="shared" si="9"/>
        <v>101.05235357454849</v>
      </c>
      <c r="O38">
        <f t="shared" si="9"/>
        <v>100.71505351217461</v>
      </c>
    </row>
    <row r="39" spans="1:15" x14ac:dyDescent="0.45">
      <c r="A39" s="2">
        <v>45413</v>
      </c>
      <c r="B39" s="3">
        <v>66882</v>
      </c>
      <c r="C39" s="3">
        <v>49191</v>
      </c>
      <c r="D39" s="3">
        <v>42550</v>
      </c>
      <c r="E39" s="4">
        <f t="shared" si="6"/>
        <v>-0.54425410421127252</v>
      </c>
      <c r="F39" s="4">
        <f t="shared" si="7"/>
        <v>-1.1057276693271167</v>
      </c>
      <c r="G39" s="4">
        <f t="shared" si="8"/>
        <v>-1.2761020881670526</v>
      </c>
      <c r="H39" s="4">
        <f t="shared" si="3"/>
        <v>1.4716591819395664</v>
      </c>
      <c r="I39" s="4">
        <f t="shared" si="4"/>
        <v>1.533603038309117</v>
      </c>
      <c r="J39" s="4">
        <f t="shared" si="5"/>
        <v>1.1241295719751854</v>
      </c>
      <c r="M39">
        <f t="shared" si="10"/>
        <v>99.689968698762854</v>
      </c>
      <c r="N39">
        <f t="shared" si="9"/>
        <v>99.93498974056844</v>
      </c>
      <c r="O39">
        <f t="shared" si="9"/>
        <v>99.42982661120719</v>
      </c>
    </row>
    <row r="40" spans="1:15" x14ac:dyDescent="0.45">
      <c r="A40" s="2">
        <v>45444</v>
      </c>
      <c r="B40" s="3">
        <v>66442</v>
      </c>
      <c r="C40" s="3">
        <v>48983</v>
      </c>
      <c r="D40" s="3">
        <v>42491</v>
      </c>
      <c r="E40" s="4">
        <f t="shared" si="6"/>
        <v>-0.657875063544755</v>
      </c>
      <c r="F40" s="4">
        <f t="shared" si="7"/>
        <v>-0.42284157671118594</v>
      </c>
      <c r="G40" s="4">
        <f t="shared" si="8"/>
        <v>-0.13866039952996623</v>
      </c>
      <c r="H40" s="4">
        <f t="shared" si="3"/>
        <v>0.6712222912468313</v>
      </c>
      <c r="I40" s="4">
        <f t="shared" si="4"/>
        <v>2.1543274244004262</v>
      </c>
      <c r="J40" s="4">
        <f t="shared" si="5"/>
        <v>2.3337026154809593</v>
      </c>
      <c r="M40">
        <f t="shared" si="10"/>
        <v>99.034133253838135</v>
      </c>
      <c r="N40">
        <f t="shared" si="9"/>
        <v>99.512423054263252</v>
      </c>
      <c r="O40">
        <f t="shared" si="9"/>
        <v>99.291956816376128</v>
      </c>
    </row>
    <row r="41" spans="1:15" x14ac:dyDescent="0.45">
      <c r="A41" s="2">
        <v>45474</v>
      </c>
      <c r="B41" s="3">
        <v>67787</v>
      </c>
      <c r="C41" s="3">
        <v>49655</v>
      </c>
      <c r="D41" s="3">
        <v>43167</v>
      </c>
      <c r="E41" s="4">
        <f t="shared" si="6"/>
        <v>2.0243219650221356</v>
      </c>
      <c r="F41" s="4">
        <f t="shared" si="7"/>
        <v>1.3719045383091988</v>
      </c>
      <c r="G41" s="4">
        <f t="shared" si="8"/>
        <v>1.5909251370878508</v>
      </c>
      <c r="H41" s="4">
        <f t="shared" si="3"/>
        <v>2.8103861437194677</v>
      </c>
      <c r="I41" s="4">
        <f t="shared" si="4"/>
        <v>2.8266721888589696</v>
      </c>
      <c r="J41" s="4">
        <f t="shared" si="5"/>
        <v>2.9476997925162784</v>
      </c>
      <c r="M41">
        <f t="shared" si="10"/>
        <v>101.03890296616484</v>
      </c>
      <c r="N41">
        <f t="shared" si="9"/>
        <v>100.87763850232614</v>
      </c>
      <c r="O41">
        <f t="shared" si="9"/>
        <v>100.87161751647426</v>
      </c>
    </row>
    <row r="42" spans="1:15" x14ac:dyDescent="0.45">
      <c r="A42" s="2">
        <v>45505</v>
      </c>
      <c r="B42" s="3">
        <v>67604</v>
      </c>
      <c r="C42" s="3">
        <v>49187</v>
      </c>
      <c r="D42" s="3">
        <v>42867</v>
      </c>
      <c r="E42" s="4">
        <f t="shared" si="6"/>
        <v>-0.26996326729313846</v>
      </c>
      <c r="F42" s="4">
        <f t="shared" si="7"/>
        <v>-0.94250327258080802</v>
      </c>
      <c r="G42" s="4">
        <f t="shared" si="8"/>
        <v>-0.69497532837584641</v>
      </c>
      <c r="H42" s="4">
        <f t="shared" si="3"/>
        <v>2.5406118703453773</v>
      </c>
      <c r="I42" s="4">
        <f t="shared" si="4"/>
        <v>1.2328146867539358</v>
      </c>
      <c r="J42" s="4">
        <f t="shared" si="5"/>
        <v>2.2468694096601016</v>
      </c>
      <c r="M42">
        <f t="shared" si="10"/>
        <v>100.76613504248024</v>
      </c>
      <c r="N42">
        <f t="shared" si="9"/>
        <v>99.926863458139493</v>
      </c>
      <c r="O42">
        <f t="shared" si="9"/>
        <v>100.17058466140114</v>
      </c>
    </row>
    <row r="43" spans="1:15" x14ac:dyDescent="0.45">
      <c r="A43" s="2">
        <v>45536</v>
      </c>
      <c r="B43" s="3">
        <v>68321</v>
      </c>
      <c r="C43" s="3">
        <v>49700</v>
      </c>
      <c r="D43" s="3">
        <v>43629</v>
      </c>
      <c r="E43" s="4">
        <f t="shared" si="6"/>
        <v>1.0605881308798359</v>
      </c>
      <c r="F43" s="4">
        <f t="shared" si="7"/>
        <v>1.042958505296121</v>
      </c>
      <c r="G43" s="4">
        <f t="shared" si="8"/>
        <v>1.7775911540345746</v>
      </c>
      <c r="H43" s="4">
        <f t="shared" si="3"/>
        <v>2.3811664568722746</v>
      </c>
      <c r="I43" s="4">
        <f t="shared" si="4"/>
        <v>2.2844206626877916</v>
      </c>
      <c r="J43" s="4">
        <f t="shared" si="5"/>
        <v>4.4855829102404376</v>
      </c>
      <c r="M43">
        <f t="shared" si="10"/>
        <v>101.83484871068713</v>
      </c>
      <c r="N43">
        <f t="shared" si="9"/>
        <v>100.96905917965179</v>
      </c>
      <c r="O43">
        <f t="shared" si="9"/>
        <v>101.95120811328691</v>
      </c>
    </row>
    <row r="44" spans="1:15" x14ac:dyDescent="0.45">
      <c r="A44" s="2">
        <v>45566</v>
      </c>
      <c r="B44" s="3">
        <v>69042</v>
      </c>
      <c r="C44" s="3">
        <v>49935</v>
      </c>
      <c r="D44" s="3">
        <v>43744</v>
      </c>
      <c r="E44" s="4">
        <f t="shared" si="6"/>
        <v>1.0553124222420607</v>
      </c>
      <c r="F44" s="4">
        <f t="shared" si="7"/>
        <v>0.47283702213278822</v>
      </c>
      <c r="G44" s="4">
        <f t="shared" si="8"/>
        <v>0.26358614682895354</v>
      </c>
      <c r="H44" s="4">
        <f t="shared" si="3"/>
        <v>3.5593754218602447</v>
      </c>
      <c r="I44" s="4">
        <f t="shared" si="4"/>
        <v>2.6518655565834104</v>
      </c>
      <c r="J44" s="4">
        <f t="shared" si="5"/>
        <v>4.0508075450155889</v>
      </c>
      <c r="M44">
        <f t="shared" si="10"/>
        <v>102.90952451930242</v>
      </c>
      <c r="N44">
        <f t="shared" si="9"/>
        <v>101.44647827235235</v>
      </c>
      <c r="O44">
        <f t="shared" si="9"/>
        <v>102.21993737439827</v>
      </c>
    </row>
    <row r="45" spans="1:15" x14ac:dyDescent="0.45">
      <c r="A45" s="2">
        <v>45597</v>
      </c>
      <c r="B45" s="3">
        <v>69070</v>
      </c>
      <c r="C45" s="3">
        <v>49338</v>
      </c>
      <c r="D45" s="3">
        <v>43117</v>
      </c>
      <c r="E45" s="4">
        <f t="shared" si="6"/>
        <v>4.0555024477861856E-2</v>
      </c>
      <c r="F45" s="4">
        <f t="shared" si="7"/>
        <v>-1.1955542204866276</v>
      </c>
      <c r="G45" s="4">
        <f t="shared" si="8"/>
        <v>-1.4333394294074653</v>
      </c>
      <c r="H45" s="4">
        <f t="shared" si="3"/>
        <v>3.9568940864827429</v>
      </c>
      <c r="I45" s="4">
        <f t="shared" si="4"/>
        <v>1.8433274847765579</v>
      </c>
      <c r="J45" s="4">
        <f t="shared" si="5"/>
        <v>3.027479091995211</v>
      </c>
      <c r="M45">
        <f t="shared" si="10"/>
        <v>102.95125950216129</v>
      </c>
      <c r="N45">
        <f t="shared" si="9"/>
        <v>100.2336306198322</v>
      </c>
      <c r="O45">
        <f t="shared" si="9"/>
        <v>100.75477870729542</v>
      </c>
    </row>
    <row r="46" spans="1:15" x14ac:dyDescent="0.45">
      <c r="A46" s="2">
        <v>45627</v>
      </c>
      <c r="B46" s="3">
        <v>70891</v>
      </c>
      <c r="C46" s="3">
        <v>50966</v>
      </c>
      <c r="D46" s="3">
        <v>44596</v>
      </c>
      <c r="E46" s="4">
        <f t="shared" si="6"/>
        <v>2.6364557695091939</v>
      </c>
      <c r="F46" s="4">
        <f t="shared" si="7"/>
        <v>3.2996878673638985</v>
      </c>
      <c r="G46" s="4">
        <f t="shared" si="8"/>
        <v>3.4302015446343592</v>
      </c>
      <c r="H46" s="4">
        <f t="shared" si="3"/>
        <v>6.8810589955824897</v>
      </c>
      <c r="I46" s="4">
        <f t="shared" si="4"/>
        <v>5.8264119601328934</v>
      </c>
      <c r="J46" s="4">
        <f t="shared" si="5"/>
        <v>6.8756440673904295</v>
      </c>
      <c r="M46">
        <f t="shared" si="10"/>
        <v>105.66552392308839</v>
      </c>
      <c r="N46">
        <f t="shared" si="9"/>
        <v>103.54102756841314</v>
      </c>
      <c r="O46">
        <f t="shared" si="9"/>
        <v>104.21087068280602</v>
      </c>
    </row>
    <row r="47" spans="1:15" x14ac:dyDescent="0.45">
      <c r="A47" s="2">
        <v>45658</v>
      </c>
      <c r="B47" s="3">
        <v>70574</v>
      </c>
      <c r="C47" s="3">
        <v>51073</v>
      </c>
      <c r="D47" s="3">
        <v>44366</v>
      </c>
      <c r="E47" s="4">
        <f t="shared" si="6"/>
        <v>-0.44716536654864081</v>
      </c>
      <c r="F47" s="4">
        <f t="shared" si="7"/>
        <v>0.2099438841580703</v>
      </c>
      <c r="G47" s="4">
        <f t="shared" si="8"/>
        <v>-0.51574132209166734</v>
      </c>
      <c r="H47" s="4">
        <f t="shared" si="3"/>
        <v>5.1930242957221706</v>
      </c>
      <c r="I47" s="4">
        <f t="shared" si="4"/>
        <v>3.7584056233874508</v>
      </c>
      <c r="J47" s="4">
        <f t="shared" si="5"/>
        <v>3.6734121605832559</v>
      </c>
      <c r="M47">
        <f t="shared" si="10"/>
        <v>105.19302429572217</v>
      </c>
      <c r="N47">
        <f t="shared" si="9"/>
        <v>103.75840562338745</v>
      </c>
      <c r="O47">
        <f t="shared" si="9"/>
        <v>103.67341216058325</v>
      </c>
    </row>
    <row r="48" spans="1:15" x14ac:dyDescent="0.45">
      <c r="A48" s="2">
        <v>45689</v>
      </c>
      <c r="B48" s="3">
        <v>69400</v>
      </c>
      <c r="C48" s="3">
        <v>51185</v>
      </c>
      <c r="D48" s="3">
        <v>44479</v>
      </c>
      <c r="E48" s="4">
        <f t="shared" si="6"/>
        <v>-1.6635021395981497</v>
      </c>
      <c r="F48" s="4">
        <f t="shared" si="7"/>
        <v>0.21929395179449696</v>
      </c>
      <c r="G48" s="4">
        <f t="shared" si="8"/>
        <v>0.25469954469639067</v>
      </c>
      <c r="H48" s="4">
        <f t="shared" si="3"/>
        <v>3.3337800211432178</v>
      </c>
      <c r="I48" s="4">
        <f t="shared" si="4"/>
        <v>4.4272161583188918</v>
      </c>
      <c r="J48" s="4">
        <f t="shared" si="5"/>
        <v>4.2517285831477736</v>
      </c>
      <c r="M48">
        <f t="shared" si="10"/>
        <v>103.44313608585483</v>
      </c>
      <c r="N48">
        <f t="shared" si="9"/>
        <v>103.98594153139793</v>
      </c>
      <c r="O48">
        <f t="shared" si="9"/>
        <v>103.93746786932748</v>
      </c>
    </row>
    <row r="49" spans="1:15" x14ac:dyDescent="0.45">
      <c r="A49" s="2">
        <v>45717</v>
      </c>
      <c r="B49" s="3">
        <v>70270</v>
      </c>
      <c r="C49" s="3">
        <v>50730</v>
      </c>
      <c r="D49" s="3">
        <v>44518</v>
      </c>
      <c r="E49" s="4">
        <f t="shared" si="6"/>
        <v>1.2536023054755097</v>
      </c>
      <c r="F49" s="4">
        <f t="shared" si="7"/>
        <v>-0.88893230438604753</v>
      </c>
      <c r="G49" s="4">
        <f t="shared" si="8"/>
        <v>8.7681827379215704E-2</v>
      </c>
      <c r="H49" s="4">
        <f t="shared" si="3"/>
        <v>5.4234491035931365</v>
      </c>
      <c r="I49" s="4">
        <f t="shared" si="4"/>
        <v>3.9996719899956901</v>
      </c>
      <c r="J49" s="4">
        <f t="shared" si="5"/>
        <v>5.0274848420506224</v>
      </c>
      <c r="M49">
        <f t="shared" si="10"/>
        <v>104.73990162468326</v>
      </c>
      <c r="N49">
        <f t="shared" si="9"/>
        <v>103.06157690510534</v>
      </c>
      <c r="O49">
        <f t="shared" si="9"/>
        <v>104.028602140487</v>
      </c>
    </row>
    <row r="50" spans="1:15" x14ac:dyDescent="0.45">
      <c r="A50" s="2">
        <v>45748</v>
      </c>
      <c r="B50" s="3">
        <v>70413</v>
      </c>
      <c r="C50" s="3">
        <v>50581</v>
      </c>
      <c r="D50" s="3">
        <v>44468</v>
      </c>
      <c r="E50" s="4">
        <f t="shared" si="6"/>
        <v>0.20350078269530947</v>
      </c>
      <c r="F50" s="4">
        <f t="shared" si="7"/>
        <v>-0.29371180760890958</v>
      </c>
      <c r="G50" s="4">
        <f t="shared" si="8"/>
        <v>-0.11231412013118502</v>
      </c>
      <c r="H50" s="4">
        <f t="shared" si="3"/>
        <v>4.7064596716630991</v>
      </c>
      <c r="I50" s="4">
        <f t="shared" si="4"/>
        <v>1.6887477131541484</v>
      </c>
      <c r="J50" s="4">
        <f t="shared" si="5"/>
        <v>3.1740139211136942</v>
      </c>
      <c r="M50">
        <f t="shared" si="10"/>
        <v>104.95304814428378</v>
      </c>
      <c r="N50">
        <f t="shared" si="9"/>
        <v>102.75887288462711</v>
      </c>
      <c r="O50">
        <f t="shared" si="9"/>
        <v>103.91176333130814</v>
      </c>
    </row>
    <row r="51" spans="1:15" x14ac:dyDescent="0.45">
      <c r="A51" s="2">
        <v>45778</v>
      </c>
      <c r="B51" s="3">
        <v>69613</v>
      </c>
      <c r="C51" s="3">
        <v>50432</v>
      </c>
      <c r="D51" s="3">
        <v>44414</v>
      </c>
      <c r="E51" s="4">
        <f t="shared" si="6"/>
        <v>-1.1361538352292921</v>
      </c>
      <c r="F51" s="4">
        <f t="shared" si="7"/>
        <v>-0.29457701508471823</v>
      </c>
      <c r="G51" s="4">
        <f t="shared" si="8"/>
        <v>-0.12143563911126698</v>
      </c>
      <c r="H51" s="4">
        <f t="shared" si="3"/>
        <v>4.08331090577434</v>
      </c>
      <c r="I51" s="4">
        <f t="shared" si="4"/>
        <v>2.5228192148970319</v>
      </c>
      <c r="J51" s="4">
        <f t="shared" si="5"/>
        <v>4.3807285546415997</v>
      </c>
      <c r="M51">
        <f t="shared" si="10"/>
        <v>103.76062006260247</v>
      </c>
      <c r="N51">
        <f t="shared" ref="N51:N60" si="11">C51/C$35*100</f>
        <v>102.45616886414888</v>
      </c>
      <c r="O51">
        <f t="shared" ref="O51:O60" si="12">D51/D$35*100</f>
        <v>103.78557741739496</v>
      </c>
    </row>
    <row r="52" spans="1:15" x14ac:dyDescent="0.45">
      <c r="A52" s="2">
        <v>45809</v>
      </c>
      <c r="B52" s="3">
        <v>70579</v>
      </c>
      <c r="C52" s="3">
        <v>51411</v>
      </c>
      <c r="D52" s="3">
        <v>45262</v>
      </c>
      <c r="E52" s="4">
        <f t="shared" si="6"/>
        <v>1.3876718429029156</v>
      </c>
      <c r="F52" s="4">
        <f t="shared" si="7"/>
        <v>1.9412277918781751</v>
      </c>
      <c r="G52" s="4">
        <f t="shared" si="8"/>
        <v>1.9093078758949833</v>
      </c>
      <c r="H52" s="4">
        <f t="shared" si="3"/>
        <v>6.2264832485475985</v>
      </c>
      <c r="I52" s="4">
        <f t="shared" si="4"/>
        <v>4.9568217544862403</v>
      </c>
      <c r="J52" s="4">
        <f t="shared" si="5"/>
        <v>6.5213809983290627</v>
      </c>
      <c r="M52">
        <f t="shared" si="10"/>
        <v>105.20047697123267</v>
      </c>
      <c r="N52">
        <f t="shared" si="11"/>
        <v>104.44507648863338</v>
      </c>
      <c r="O52">
        <f t="shared" si="12"/>
        <v>105.76716362106838</v>
      </c>
    </row>
    <row r="53" spans="1:15" x14ac:dyDescent="0.45">
      <c r="A53" s="2">
        <v>45839</v>
      </c>
      <c r="B53" s="3">
        <v>70135</v>
      </c>
      <c r="C53" s="3">
        <v>50998</v>
      </c>
      <c r="D53" s="3">
        <v>44889</v>
      </c>
      <c r="E53" s="4">
        <f t="shared" si="6"/>
        <v>-0.62908230493489148</v>
      </c>
      <c r="F53" s="4">
        <f t="shared" si="7"/>
        <v>-0.80333002664799702</v>
      </c>
      <c r="G53" s="4">
        <f t="shared" si="8"/>
        <v>-0.82409084883566797</v>
      </c>
      <c r="H53" s="4">
        <f t="shared" si="3"/>
        <v>3.4637909923731725</v>
      </c>
      <c r="I53" s="4">
        <f t="shared" si="4"/>
        <v>2.7046621689658545</v>
      </c>
      <c r="J53" s="4">
        <f t="shared" si="5"/>
        <v>3.9891583848773449</v>
      </c>
      <c r="M53">
        <f t="shared" si="10"/>
        <v>104.53867938589954</v>
      </c>
      <c r="N53">
        <f t="shared" si="11"/>
        <v>103.6060378278447</v>
      </c>
      <c r="O53">
        <f t="shared" si="12"/>
        <v>104.8955461045941</v>
      </c>
    </row>
    <row r="54" spans="1:15" x14ac:dyDescent="0.45">
      <c r="A54" s="2">
        <v>45870</v>
      </c>
      <c r="B54" s="3">
        <v>70780</v>
      </c>
      <c r="C54" s="3">
        <v>51344</v>
      </c>
      <c r="D54" s="3">
        <v>45294</v>
      </c>
      <c r="E54" s="4">
        <f t="shared" si="6"/>
        <v>0.91965495116561602</v>
      </c>
      <c r="F54" s="4">
        <f t="shared" si="7"/>
        <v>0.67845797874426239</v>
      </c>
      <c r="G54" s="4">
        <f t="shared" si="8"/>
        <v>0.90222548954086434</v>
      </c>
      <c r="H54" s="4">
        <f t="shared" si="3"/>
        <v>4.6979468670492963</v>
      </c>
      <c r="I54" s="4">
        <f t="shared" si="4"/>
        <v>4.3853050602801646</v>
      </c>
      <c r="J54" s="4">
        <f t="shared" si="5"/>
        <v>5.6616978095038073</v>
      </c>
      <c r="M54">
        <f t="shared" si="10"/>
        <v>105.5000745267551</v>
      </c>
      <c r="N54">
        <f t="shared" si="11"/>
        <v>104.30896125794852</v>
      </c>
      <c r="O54">
        <f t="shared" si="12"/>
        <v>105.84194045894284</v>
      </c>
    </row>
    <row r="55" spans="1:15" x14ac:dyDescent="0.45">
      <c r="A55" s="2">
        <v>45901</v>
      </c>
      <c r="B55" s="3">
        <v>70059</v>
      </c>
      <c r="C55" s="3">
        <v>51343</v>
      </c>
      <c r="D55" s="3">
        <v>45170</v>
      </c>
      <c r="E55" s="4">
        <f t="shared" si="6"/>
        <v>-1.0186493359706117</v>
      </c>
      <c r="F55" s="4">
        <f t="shared" si="7"/>
        <v>-1.9476472421287028E-3</v>
      </c>
      <c r="G55" s="4">
        <f t="shared" si="8"/>
        <v>-0.27376694484920749</v>
      </c>
      <c r="H55" s="4">
        <f t="shared" si="3"/>
        <v>2.5438737723394</v>
      </c>
      <c r="I55" s="4">
        <f t="shared" si="4"/>
        <v>3.3058350100603651</v>
      </c>
      <c r="J55" s="4">
        <f t="shared" si="5"/>
        <v>3.5320543675078531</v>
      </c>
      <c r="M55">
        <f t="shared" si="10"/>
        <v>104.4253987181398</v>
      </c>
      <c r="N55">
        <f t="shared" si="11"/>
        <v>104.30692968734128</v>
      </c>
      <c r="O55">
        <f t="shared" si="12"/>
        <v>105.55218021217927</v>
      </c>
    </row>
    <row r="56" spans="1:15" x14ac:dyDescent="0.45">
      <c r="A56" s="2">
        <v>45931</v>
      </c>
      <c r="B56" s="3">
        <v>70113</v>
      </c>
      <c r="C56" s="3">
        <v>51109</v>
      </c>
      <c r="D56" s="3">
        <v>45058</v>
      </c>
      <c r="E56" s="4">
        <f t="shared" si="6"/>
        <v>7.7077891491450501E-2</v>
      </c>
      <c r="F56" s="4">
        <f t="shared" si="7"/>
        <v>-0.45575833122334375</v>
      </c>
      <c r="G56" s="4">
        <f t="shared" si="8"/>
        <v>-0.24795218065087887</v>
      </c>
      <c r="H56" s="4">
        <f t="shared" si="3"/>
        <v>1.5512296862779218</v>
      </c>
      <c r="I56" s="4">
        <f t="shared" si="4"/>
        <v>2.3510563732852763</v>
      </c>
      <c r="J56" s="4">
        <f t="shared" si="5"/>
        <v>3.0038405267007962</v>
      </c>
      <c r="M56">
        <f t="shared" si="10"/>
        <v>104.50588761365329</v>
      </c>
      <c r="N56">
        <f t="shared" si="11"/>
        <v>103.83154216524795</v>
      </c>
      <c r="O56">
        <f t="shared" si="12"/>
        <v>105.29046127961863</v>
      </c>
    </row>
    <row r="57" spans="1:15" x14ac:dyDescent="0.45">
      <c r="A57" s="2">
        <v>45962</v>
      </c>
      <c r="B57" s="3">
        <v>70985</v>
      </c>
      <c r="C57" s="3">
        <v>52065</v>
      </c>
      <c r="D57" s="3">
        <v>45866</v>
      </c>
      <c r="E57" s="4">
        <f t="shared" si="6"/>
        <v>1.2437065879366216</v>
      </c>
      <c r="F57" s="4">
        <f t="shared" si="7"/>
        <v>1.8705120428887279</v>
      </c>
      <c r="G57" s="4">
        <f t="shared" si="8"/>
        <v>1.7932442629499779</v>
      </c>
      <c r="H57" s="4">
        <f t="shared" si="3"/>
        <v>2.7725495873751171</v>
      </c>
      <c r="I57" s="4">
        <f t="shared" si="4"/>
        <v>5.5271798613644618</v>
      </c>
      <c r="J57" s="4">
        <f t="shared" si="5"/>
        <v>6.3756754876266974</v>
      </c>
      <c r="M57">
        <f t="shared" si="10"/>
        <v>105.80563422268594</v>
      </c>
      <c r="N57">
        <f t="shared" si="11"/>
        <v>105.773723665766</v>
      </c>
      <c r="O57">
        <f t="shared" si="12"/>
        <v>107.17857643594897</v>
      </c>
    </row>
    <row r="58" spans="1:15" x14ac:dyDescent="0.45">
      <c r="A58" s="2">
        <v>45992</v>
      </c>
      <c r="B58" s="3">
        <v>70709</v>
      </c>
      <c r="C58" s="3">
        <v>51979</v>
      </c>
      <c r="D58" s="3">
        <v>45602</v>
      </c>
      <c r="E58" s="4">
        <f t="shared" si="6"/>
        <v>-0.38881453828273349</v>
      </c>
      <c r="F58" s="4">
        <f t="shared" si="7"/>
        <v>-0.16517814270623488</v>
      </c>
      <c r="G58" s="4">
        <f t="shared" si="8"/>
        <v>-0.57558976147908947</v>
      </c>
      <c r="H58" s="4">
        <f t="shared" si="3"/>
        <v>-0.25673216628344653</v>
      </c>
      <c r="I58" s="4">
        <f t="shared" si="4"/>
        <v>1.9875995761880372</v>
      </c>
      <c r="J58" s="4">
        <f t="shared" si="5"/>
        <v>2.2558076957574613</v>
      </c>
      <c r="M58">
        <f t="shared" si="10"/>
        <v>105.39424653450588</v>
      </c>
      <c r="N58">
        <f t="shared" si="11"/>
        <v>105.59900859354367</v>
      </c>
      <c r="O58">
        <f t="shared" si="12"/>
        <v>106.56166752348459</v>
      </c>
    </row>
    <row r="59" spans="1:15" x14ac:dyDescent="0.45">
      <c r="A59" s="2">
        <v>46023</v>
      </c>
      <c r="B59" s="3">
        <v>71591</v>
      </c>
      <c r="C59" s="3">
        <v>52480</v>
      </c>
      <c r="D59" s="3">
        <v>46082</v>
      </c>
      <c r="E59" s="4">
        <f t="shared" si="6"/>
        <v>1.247365964728675</v>
      </c>
      <c r="F59" s="4">
        <f t="shared" si="7"/>
        <v>0.96385078589429352</v>
      </c>
      <c r="G59" s="4">
        <f t="shared" si="8"/>
        <v>1.0525854129204815</v>
      </c>
      <c r="H59" s="4">
        <f t="shared" si="3"/>
        <v>1.4410406098563255</v>
      </c>
      <c r="I59" s="4">
        <f t="shared" si="4"/>
        <v>2.7548802694182806</v>
      </c>
      <c r="J59" s="4">
        <f t="shared" si="5"/>
        <v>3.8678267141504685</v>
      </c>
      <c r="M59">
        <f t="shared" si="10"/>
        <v>106.70889849455956</v>
      </c>
      <c r="N59">
        <f t="shared" si="11"/>
        <v>106.61682546776913</v>
      </c>
      <c r="O59">
        <f t="shared" si="12"/>
        <v>107.68332009160162</v>
      </c>
    </row>
    <row r="60" spans="1:15" x14ac:dyDescent="0.45">
      <c r="A60" s="2">
        <v>46054</v>
      </c>
      <c r="B60" s="3">
        <v>72063</v>
      </c>
      <c r="C60" s="3">
        <v>52765</v>
      </c>
      <c r="D60" s="3">
        <v>46366</v>
      </c>
      <c r="E60" s="4">
        <f t="shared" si="6"/>
        <v>0.65930075009428268</v>
      </c>
      <c r="F60" s="4">
        <f t="shared" si="7"/>
        <v>0.54306402439023849</v>
      </c>
      <c r="G60" s="4">
        <f t="shared" si="8"/>
        <v>0.61629269562952782</v>
      </c>
      <c r="H60" s="4">
        <f t="shared" si="3"/>
        <v>3.837175792507197</v>
      </c>
      <c r="I60" s="4">
        <f t="shared" si="4"/>
        <v>3.0868418481977189</v>
      </c>
      <c r="J60" s="4">
        <f t="shared" si="5"/>
        <v>4.2424514939634506</v>
      </c>
      <c r="M60">
        <f t="shared" si="10"/>
        <v>107.41243106275154</v>
      </c>
      <c r="N60">
        <f t="shared" si="11"/>
        <v>107.19582309083154</v>
      </c>
      <c r="O60">
        <f t="shared" si="12"/>
        <v>108.34696452773753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1"/>
  <sheetViews>
    <sheetView tabSelected="1" workbookViewId="0">
      <pane ySplit="1" topLeftCell="A36" activePane="bottomLeft" state="frozen"/>
      <selection pane="bottomLeft" activeCell="H48" sqref="H48"/>
    </sheetView>
  </sheetViews>
  <sheetFormatPr defaultRowHeight="14.25" x14ac:dyDescent="0.45"/>
  <cols>
    <col min="1" max="1" width="11" customWidth="1"/>
    <col min="2" max="2" width="15" customWidth="1"/>
    <col min="3" max="3" width="17" customWidth="1"/>
    <col min="4" max="5" width="13" customWidth="1"/>
    <col min="6" max="6" width="18" customWidth="1"/>
    <col min="7" max="8" width="12" customWidth="1"/>
  </cols>
  <sheetData>
    <row r="1" spans="1:8" ht="22.05" customHeight="1" x14ac:dyDescent="0.4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x14ac:dyDescent="0.45">
      <c r="A2" s="2">
        <v>44287</v>
      </c>
      <c r="B2" s="3">
        <v>58413</v>
      </c>
      <c r="C2" s="3">
        <v>55436</v>
      </c>
    </row>
    <row r="3" spans="1:8" x14ac:dyDescent="0.45">
      <c r="A3" s="2">
        <v>44317</v>
      </c>
      <c r="B3" s="3">
        <v>57035</v>
      </c>
      <c r="C3" s="3">
        <v>53871</v>
      </c>
      <c r="D3" s="4">
        <f t="shared" ref="D3:D34" si="0">IFERROR((B3/B2-1)*100,"")</f>
        <v>-2.3590639070069974</v>
      </c>
      <c r="E3" s="4">
        <f t="shared" ref="E3:E34" si="1">IFERROR((C3/C2-1)*100,"")</f>
        <v>-2.823075257955121</v>
      </c>
      <c r="F3" s="4">
        <f t="shared" ref="F3:F34" si="2">IFERROR(D3-E3,"")</f>
        <v>0.46401135094812362</v>
      </c>
    </row>
    <row r="4" spans="1:8" x14ac:dyDescent="0.45">
      <c r="A4" s="2">
        <v>44348</v>
      </c>
      <c r="B4" s="3">
        <v>59665</v>
      </c>
      <c r="C4" s="3">
        <v>56364</v>
      </c>
      <c r="D4" s="4">
        <f t="shared" si="0"/>
        <v>4.6112036468834994</v>
      </c>
      <c r="E4" s="4">
        <f t="shared" si="1"/>
        <v>4.6277217798073256</v>
      </c>
      <c r="F4" s="4">
        <f t="shared" si="2"/>
        <v>-1.6518132923826201E-2</v>
      </c>
    </row>
    <row r="5" spans="1:8" x14ac:dyDescent="0.45">
      <c r="A5" s="2">
        <v>44378</v>
      </c>
      <c r="B5" s="3">
        <v>60203</v>
      </c>
      <c r="C5" s="3">
        <v>56632</v>
      </c>
      <c r="D5" s="4">
        <f t="shared" si="0"/>
        <v>0.90170116483700991</v>
      </c>
      <c r="E5" s="4">
        <f t="shared" si="1"/>
        <v>0.47548080334964826</v>
      </c>
      <c r="F5" s="4">
        <f t="shared" si="2"/>
        <v>0.42622036148736164</v>
      </c>
    </row>
    <row r="6" spans="1:8" x14ac:dyDescent="0.45">
      <c r="A6" s="2">
        <v>44409</v>
      </c>
      <c r="B6" s="3">
        <v>61117</v>
      </c>
      <c r="C6" s="3">
        <v>57290</v>
      </c>
      <c r="D6" s="4">
        <f t="shared" si="0"/>
        <v>1.5181967676029418</v>
      </c>
      <c r="E6" s="4">
        <f t="shared" si="1"/>
        <v>1.1618872722135798</v>
      </c>
      <c r="F6" s="4">
        <f t="shared" si="2"/>
        <v>0.35630949538936196</v>
      </c>
    </row>
    <row r="7" spans="1:8" x14ac:dyDescent="0.45">
      <c r="A7" s="2">
        <v>44440</v>
      </c>
      <c r="B7" s="3">
        <v>60798</v>
      </c>
      <c r="C7" s="3">
        <v>56829</v>
      </c>
      <c r="D7" s="4">
        <f t="shared" si="0"/>
        <v>-0.52194970302861243</v>
      </c>
      <c r="E7" s="4">
        <f t="shared" si="1"/>
        <v>-0.8046779542677629</v>
      </c>
      <c r="F7" s="4">
        <f t="shared" si="2"/>
        <v>0.28272825123915046</v>
      </c>
    </row>
    <row r="8" spans="1:8" x14ac:dyDescent="0.45">
      <c r="A8" s="2">
        <v>44470</v>
      </c>
      <c r="B8" s="3">
        <v>61718</v>
      </c>
      <c r="C8" s="3">
        <v>57122</v>
      </c>
      <c r="D8" s="4">
        <f t="shared" si="0"/>
        <v>1.5132076713049836</v>
      </c>
      <c r="E8" s="4">
        <f t="shared" si="1"/>
        <v>0.51558183321895878</v>
      </c>
      <c r="F8" s="4">
        <f t="shared" si="2"/>
        <v>0.99762583808602479</v>
      </c>
    </row>
    <row r="9" spans="1:8" x14ac:dyDescent="0.45">
      <c r="A9" s="2">
        <v>44501</v>
      </c>
      <c r="B9" s="3">
        <v>62372</v>
      </c>
      <c r="C9" s="3">
        <v>57219</v>
      </c>
      <c r="D9" s="4">
        <f t="shared" si="0"/>
        <v>1.0596584464823922</v>
      </c>
      <c r="E9" s="4">
        <f t="shared" si="1"/>
        <v>0.16981198137320241</v>
      </c>
      <c r="F9" s="4">
        <f t="shared" si="2"/>
        <v>0.88984646510918974</v>
      </c>
    </row>
    <row r="10" spans="1:8" x14ac:dyDescent="0.45">
      <c r="A10" s="2">
        <v>44531</v>
      </c>
      <c r="B10" s="3">
        <v>61336</v>
      </c>
      <c r="C10" s="3">
        <v>55934</v>
      </c>
      <c r="D10" s="4">
        <f t="shared" si="0"/>
        <v>-1.6610017315462078</v>
      </c>
      <c r="E10" s="4">
        <f t="shared" si="1"/>
        <v>-2.2457575280938169</v>
      </c>
      <c r="F10" s="4">
        <f t="shared" si="2"/>
        <v>0.58475579654760912</v>
      </c>
    </row>
    <row r="11" spans="1:8" x14ac:dyDescent="0.45">
      <c r="A11" s="2">
        <v>44562</v>
      </c>
      <c r="B11" s="3">
        <v>62902</v>
      </c>
      <c r="C11" s="3">
        <v>56490</v>
      </c>
      <c r="D11" s="4">
        <f t="shared" si="0"/>
        <v>2.553149863049442</v>
      </c>
      <c r="E11" s="4">
        <f t="shared" si="1"/>
        <v>0.99402867665463468</v>
      </c>
      <c r="F11" s="4">
        <f t="shared" si="2"/>
        <v>1.5591211863948073</v>
      </c>
    </row>
    <row r="12" spans="1:8" x14ac:dyDescent="0.45">
      <c r="A12" s="2">
        <v>44593</v>
      </c>
      <c r="B12" s="3">
        <v>63226</v>
      </c>
      <c r="C12" s="3">
        <v>56347</v>
      </c>
      <c r="D12" s="4">
        <f t="shared" si="0"/>
        <v>0.51508696066897564</v>
      </c>
      <c r="E12" s="4">
        <f t="shared" si="1"/>
        <v>-0.25314214905293175</v>
      </c>
      <c r="F12" s="4">
        <f t="shared" si="2"/>
        <v>0.76822910972190739</v>
      </c>
    </row>
    <row r="13" spans="1:8" x14ac:dyDescent="0.45">
      <c r="A13" s="2">
        <v>44621</v>
      </c>
      <c r="B13" s="3">
        <v>64010</v>
      </c>
      <c r="C13" s="3">
        <v>56135</v>
      </c>
      <c r="D13" s="4">
        <f t="shared" si="0"/>
        <v>1.2399962040932522</v>
      </c>
      <c r="E13" s="4">
        <f t="shared" si="1"/>
        <v>-0.37624008376665463</v>
      </c>
      <c r="F13" s="4">
        <f t="shared" si="2"/>
        <v>1.6162362878599068</v>
      </c>
    </row>
    <row r="14" spans="1:8" x14ac:dyDescent="0.45">
      <c r="A14" s="2">
        <v>44652</v>
      </c>
      <c r="B14" s="3">
        <v>64084</v>
      </c>
      <c r="C14" s="3">
        <v>55856</v>
      </c>
      <c r="D14" s="4">
        <f t="shared" si="0"/>
        <v>0.11560693641619046</v>
      </c>
      <c r="E14" s="4">
        <f t="shared" si="1"/>
        <v>-0.49701612184911426</v>
      </c>
      <c r="F14" s="4">
        <f t="shared" si="2"/>
        <v>0.61262305826530472</v>
      </c>
      <c r="G14" s="4">
        <f t="shared" ref="G14:G60" si="3">IFERROR((B14/B2-1)*100,"")</f>
        <v>9.7084553096057356</v>
      </c>
      <c r="H14" s="4">
        <f t="shared" ref="H14:H60" si="4">IFERROR((C14/C2-1)*100,"")</f>
        <v>0.75763042066527841</v>
      </c>
    </row>
    <row r="15" spans="1:8" x14ac:dyDescent="0.45">
      <c r="A15" s="2">
        <v>44682</v>
      </c>
      <c r="B15" s="3">
        <v>65992</v>
      </c>
      <c r="C15" s="3">
        <v>56727</v>
      </c>
      <c r="D15" s="4">
        <f t="shared" si="0"/>
        <v>2.9773422383122083</v>
      </c>
      <c r="E15" s="4">
        <f t="shared" si="1"/>
        <v>1.5593669435691737</v>
      </c>
      <c r="F15" s="4">
        <f t="shared" si="2"/>
        <v>1.4179752947430346</v>
      </c>
      <c r="G15" s="4">
        <f t="shared" si="3"/>
        <v>15.704392039975446</v>
      </c>
      <c r="H15" s="4">
        <f t="shared" si="4"/>
        <v>5.3015537116444911</v>
      </c>
    </row>
    <row r="16" spans="1:8" x14ac:dyDescent="0.45">
      <c r="A16" s="2">
        <v>44713</v>
      </c>
      <c r="B16" s="3">
        <v>66813</v>
      </c>
      <c r="C16" s="3">
        <v>57117</v>
      </c>
      <c r="D16" s="4">
        <f t="shared" si="0"/>
        <v>1.2440901927506465</v>
      </c>
      <c r="E16" s="4">
        <f t="shared" si="1"/>
        <v>0.68750330530435999</v>
      </c>
      <c r="F16" s="4">
        <f t="shared" si="2"/>
        <v>0.55658688744628648</v>
      </c>
      <c r="G16" s="4">
        <f t="shared" si="3"/>
        <v>11.980222911254511</v>
      </c>
      <c r="H16" s="4">
        <f t="shared" si="4"/>
        <v>1.3359591228443657</v>
      </c>
    </row>
    <row r="17" spans="1:8" x14ac:dyDescent="0.45">
      <c r="A17" s="2">
        <v>44743</v>
      </c>
      <c r="B17" s="3">
        <v>64912</v>
      </c>
      <c r="C17" s="3">
        <v>56084</v>
      </c>
      <c r="D17" s="4">
        <f t="shared" si="0"/>
        <v>-2.8452546660081124</v>
      </c>
      <c r="E17" s="4">
        <f t="shared" si="1"/>
        <v>-1.808568377190678</v>
      </c>
      <c r="F17" s="4">
        <f t="shared" si="2"/>
        <v>-1.0366862888174344</v>
      </c>
      <c r="G17" s="4">
        <f t="shared" si="3"/>
        <v>7.8218693420593732</v>
      </c>
      <c r="H17" s="4">
        <f t="shared" si="4"/>
        <v>-0.96765079813533328</v>
      </c>
    </row>
    <row r="18" spans="1:8" x14ac:dyDescent="0.45">
      <c r="A18" s="2">
        <v>44774</v>
      </c>
      <c r="B18" s="3">
        <v>65182</v>
      </c>
      <c r="C18" s="3">
        <v>56882</v>
      </c>
      <c r="D18" s="4">
        <f t="shared" si="0"/>
        <v>0.41594774463888928</v>
      </c>
      <c r="E18" s="4">
        <f t="shared" si="1"/>
        <v>1.4228657014478285</v>
      </c>
      <c r="F18" s="4">
        <f t="shared" si="2"/>
        <v>-1.0069179568089393</v>
      </c>
      <c r="G18" s="4">
        <f t="shared" si="3"/>
        <v>6.6511772501922639</v>
      </c>
      <c r="H18" s="4">
        <f t="shared" si="4"/>
        <v>-0.71216617210682065</v>
      </c>
    </row>
    <row r="19" spans="1:8" x14ac:dyDescent="0.45">
      <c r="A19" s="2">
        <v>44805</v>
      </c>
      <c r="B19" s="3">
        <v>64874</v>
      </c>
      <c r="C19" s="3">
        <v>56849</v>
      </c>
      <c r="D19" s="4">
        <f t="shared" si="0"/>
        <v>-0.47252308919640829</v>
      </c>
      <c r="E19" s="4">
        <f t="shared" si="1"/>
        <v>-5.8014837734254865E-2</v>
      </c>
      <c r="F19" s="4">
        <f t="shared" si="2"/>
        <v>-0.41450825146215342</v>
      </c>
      <c r="G19" s="4">
        <f t="shared" si="3"/>
        <v>6.704167900259872</v>
      </c>
      <c r="H19" s="4">
        <f t="shared" si="4"/>
        <v>3.5193299195834804E-2</v>
      </c>
    </row>
    <row r="20" spans="1:8" x14ac:dyDescent="0.45">
      <c r="A20" s="2">
        <v>44835</v>
      </c>
      <c r="B20" s="3">
        <v>65505</v>
      </c>
      <c r="C20" s="3">
        <v>56671</v>
      </c>
      <c r="D20" s="4">
        <f t="shared" si="0"/>
        <v>0.97265468446527947</v>
      </c>
      <c r="E20" s="4">
        <f t="shared" si="1"/>
        <v>-0.31311016904430611</v>
      </c>
      <c r="F20" s="4">
        <f t="shared" si="2"/>
        <v>1.2857648535095856</v>
      </c>
      <c r="G20" s="4">
        <f t="shared" si="3"/>
        <v>6.1359732979033632</v>
      </c>
      <c r="H20" s="4">
        <f t="shared" si="4"/>
        <v>-0.78953818143622234</v>
      </c>
    </row>
    <row r="21" spans="1:8" x14ac:dyDescent="0.45">
      <c r="A21" s="2">
        <v>44866</v>
      </c>
      <c r="B21" s="3">
        <v>65322</v>
      </c>
      <c r="C21" s="3">
        <v>56646</v>
      </c>
      <c r="D21" s="4">
        <f t="shared" si="0"/>
        <v>-0.27936798717654865</v>
      </c>
      <c r="E21" s="4">
        <f t="shared" si="1"/>
        <v>-4.4114273614370703E-2</v>
      </c>
      <c r="F21" s="4">
        <f t="shared" si="2"/>
        <v>-0.23525371356217795</v>
      </c>
      <c r="G21" s="4">
        <f t="shared" si="3"/>
        <v>4.7296863977425829</v>
      </c>
      <c r="H21" s="4">
        <f t="shared" si="4"/>
        <v>-1.0014156136947561</v>
      </c>
    </row>
    <row r="22" spans="1:8" x14ac:dyDescent="0.45">
      <c r="A22" s="2">
        <v>44896</v>
      </c>
      <c r="B22" s="3">
        <v>64724</v>
      </c>
      <c r="C22" s="3">
        <v>56922</v>
      </c>
      <c r="D22" s="4">
        <f t="shared" si="0"/>
        <v>-0.91546492758948217</v>
      </c>
      <c r="E22" s="4">
        <f t="shared" si="1"/>
        <v>0.48723652155491237</v>
      </c>
      <c r="F22" s="4">
        <f t="shared" si="2"/>
        <v>-1.4027014491443945</v>
      </c>
      <c r="G22" s="4">
        <f t="shared" si="3"/>
        <v>5.5236728837876559</v>
      </c>
      <c r="H22" s="4">
        <f t="shared" si="4"/>
        <v>1.7663675045589411</v>
      </c>
    </row>
    <row r="23" spans="1:8" x14ac:dyDescent="0.45">
      <c r="A23" s="2">
        <v>44927</v>
      </c>
      <c r="B23" s="3">
        <v>66337</v>
      </c>
      <c r="C23" s="3">
        <v>58174</v>
      </c>
      <c r="D23" s="4">
        <f t="shared" si="0"/>
        <v>2.4921203881095089</v>
      </c>
      <c r="E23" s="4">
        <f t="shared" si="1"/>
        <v>2.199501071641885</v>
      </c>
      <c r="F23" s="4">
        <f t="shared" si="2"/>
        <v>0.29261931646762385</v>
      </c>
      <c r="G23" s="4">
        <f t="shared" si="3"/>
        <v>5.46087564783313</v>
      </c>
      <c r="H23" s="4">
        <f t="shared" si="4"/>
        <v>2.981058594441488</v>
      </c>
    </row>
    <row r="24" spans="1:8" x14ac:dyDescent="0.45">
      <c r="A24" s="2">
        <v>44958</v>
      </c>
      <c r="B24" s="3">
        <v>65394</v>
      </c>
      <c r="C24" s="3">
        <v>57342</v>
      </c>
      <c r="D24" s="4">
        <f t="shared" si="0"/>
        <v>-1.4215294631955033</v>
      </c>
      <c r="E24" s="4">
        <f t="shared" si="1"/>
        <v>-1.4301921820744634</v>
      </c>
      <c r="F24" s="4">
        <f t="shared" si="2"/>
        <v>8.6627188789600851E-3</v>
      </c>
      <c r="G24" s="4">
        <f t="shared" si="3"/>
        <v>3.4289690949925733</v>
      </c>
      <c r="H24" s="4">
        <f t="shared" si="4"/>
        <v>1.7658437893765422</v>
      </c>
    </row>
    <row r="25" spans="1:8" x14ac:dyDescent="0.45">
      <c r="A25" s="2">
        <v>44986</v>
      </c>
      <c r="B25" s="3">
        <v>65152</v>
      </c>
      <c r="C25" s="3">
        <v>57364</v>
      </c>
      <c r="D25" s="4">
        <f t="shared" si="0"/>
        <v>-0.37006453191423816</v>
      </c>
      <c r="E25" s="4">
        <f t="shared" si="1"/>
        <v>3.8366293467273493E-2</v>
      </c>
      <c r="F25" s="4">
        <f t="shared" si="2"/>
        <v>-0.40843082538151165</v>
      </c>
      <c r="G25" s="4">
        <f t="shared" si="3"/>
        <v>1.7840962349632949</v>
      </c>
      <c r="H25" s="4">
        <f t="shared" si="4"/>
        <v>2.1893649238442947</v>
      </c>
    </row>
    <row r="26" spans="1:8" x14ac:dyDescent="0.45">
      <c r="A26" s="2">
        <v>45017</v>
      </c>
      <c r="B26" s="3">
        <v>65544</v>
      </c>
      <c r="C26" s="3">
        <v>57500</v>
      </c>
      <c r="D26" s="4">
        <f t="shared" si="0"/>
        <v>0.60166994106090055</v>
      </c>
      <c r="E26" s="4">
        <f t="shared" si="1"/>
        <v>0.23708249076075383</v>
      </c>
      <c r="F26" s="4">
        <f t="shared" si="2"/>
        <v>0.36458745030014672</v>
      </c>
      <c r="G26" s="4">
        <f t="shared" si="3"/>
        <v>2.2782597840334651</v>
      </c>
      <c r="H26" s="4">
        <f t="shared" si="4"/>
        <v>2.9432827270123196</v>
      </c>
    </row>
    <row r="27" spans="1:8" x14ac:dyDescent="0.45">
      <c r="A27" s="2">
        <v>45047</v>
      </c>
      <c r="B27" s="3">
        <v>65912</v>
      </c>
      <c r="C27" s="3">
        <v>57906</v>
      </c>
      <c r="D27" s="4">
        <f t="shared" si="0"/>
        <v>0.56145490052483815</v>
      </c>
      <c r="E27" s="4">
        <f t="shared" si="1"/>
        <v>0.70608695652174536</v>
      </c>
      <c r="F27" s="4">
        <f t="shared" si="2"/>
        <v>-0.14463205599690721</v>
      </c>
      <c r="G27" s="4">
        <f t="shared" si="3"/>
        <v>-0.12122681537155566</v>
      </c>
      <c r="H27" s="4">
        <f t="shared" si="4"/>
        <v>2.0783753768046864</v>
      </c>
    </row>
    <row r="28" spans="1:8" x14ac:dyDescent="0.45">
      <c r="A28" s="2">
        <v>45078</v>
      </c>
      <c r="B28" s="3">
        <v>65999</v>
      </c>
      <c r="C28" s="3">
        <v>57869</v>
      </c>
      <c r="D28" s="4">
        <f t="shared" si="0"/>
        <v>0.13199417405025393</v>
      </c>
      <c r="E28" s="4">
        <f t="shared" si="1"/>
        <v>-6.3896660104312275E-2</v>
      </c>
      <c r="F28" s="4">
        <f t="shared" si="2"/>
        <v>0.19589083415456621</v>
      </c>
      <c r="G28" s="4">
        <f t="shared" si="3"/>
        <v>-1.218325774924045</v>
      </c>
      <c r="H28" s="4">
        <f t="shared" si="4"/>
        <v>1.3165957595812072</v>
      </c>
    </row>
    <row r="29" spans="1:8" x14ac:dyDescent="0.45">
      <c r="A29" s="2">
        <v>45108</v>
      </c>
      <c r="B29" s="3">
        <v>65934</v>
      </c>
      <c r="C29" s="3">
        <v>57406</v>
      </c>
      <c r="D29" s="4">
        <f t="shared" si="0"/>
        <v>-9.8486340702130803E-2</v>
      </c>
      <c r="E29" s="4">
        <f t="shared" si="1"/>
        <v>-0.80008294596416452</v>
      </c>
      <c r="F29" s="4">
        <f t="shared" si="2"/>
        <v>0.70159660526203371</v>
      </c>
      <c r="G29" s="4">
        <f t="shared" si="3"/>
        <v>1.5744392408183483</v>
      </c>
      <c r="H29" s="4">
        <f t="shared" si="4"/>
        <v>2.357178517937375</v>
      </c>
    </row>
    <row r="30" spans="1:8" x14ac:dyDescent="0.45">
      <c r="A30" s="2">
        <v>45139</v>
      </c>
      <c r="B30" s="3">
        <v>65929</v>
      </c>
      <c r="C30" s="3">
        <v>57261</v>
      </c>
      <c r="D30" s="4">
        <f t="shared" si="0"/>
        <v>-7.5833409166725652E-3</v>
      </c>
      <c r="E30" s="4">
        <f t="shared" si="1"/>
        <v>-0.25258683761278933</v>
      </c>
      <c r="F30" s="4">
        <f t="shared" si="2"/>
        <v>0.24500349669611676</v>
      </c>
      <c r="G30" s="4">
        <f t="shared" si="3"/>
        <v>1.1460219078886835</v>
      </c>
      <c r="H30" s="4">
        <f t="shared" si="4"/>
        <v>0.66629162125100283</v>
      </c>
    </row>
    <row r="31" spans="1:8" x14ac:dyDescent="0.45">
      <c r="A31" s="2">
        <v>45170</v>
      </c>
      <c r="B31" s="3">
        <v>66732</v>
      </c>
      <c r="C31" s="3">
        <v>57793</v>
      </c>
      <c r="D31" s="4">
        <f t="shared" si="0"/>
        <v>1.2179769145596042</v>
      </c>
      <c r="E31" s="4">
        <f t="shared" si="1"/>
        <v>0.9290791289009892</v>
      </c>
      <c r="F31" s="4">
        <f t="shared" si="2"/>
        <v>0.28889778565861501</v>
      </c>
      <c r="G31" s="4">
        <f t="shared" si="3"/>
        <v>2.8640133181243588</v>
      </c>
      <c r="H31" s="4">
        <f t="shared" si="4"/>
        <v>1.6605393234709442</v>
      </c>
    </row>
    <row r="32" spans="1:8" x14ac:dyDescent="0.45">
      <c r="A32" s="2">
        <v>45200</v>
      </c>
      <c r="B32" s="3">
        <v>66669</v>
      </c>
      <c r="C32" s="3">
        <v>58049</v>
      </c>
      <c r="D32" s="4">
        <f t="shared" si="0"/>
        <v>-9.4407480668945443E-2</v>
      </c>
      <c r="E32" s="4">
        <f t="shared" si="1"/>
        <v>0.44296022009586711</v>
      </c>
      <c r="F32" s="4">
        <f t="shared" si="2"/>
        <v>-0.53736770076481255</v>
      </c>
      <c r="G32" s="4">
        <f t="shared" si="3"/>
        <v>1.7769635905656056</v>
      </c>
      <c r="H32" s="4">
        <f t="shared" si="4"/>
        <v>2.4315787616241202</v>
      </c>
    </row>
    <row r="33" spans="1:11" x14ac:dyDescent="0.45">
      <c r="A33" s="2">
        <v>45231</v>
      </c>
      <c r="B33" s="3">
        <v>66441</v>
      </c>
      <c r="C33" s="3">
        <v>58008</v>
      </c>
      <c r="D33" s="4">
        <f t="shared" si="0"/>
        <v>-0.34198803041893822</v>
      </c>
      <c r="E33" s="4">
        <f t="shared" si="1"/>
        <v>-7.0629985012660157E-2</v>
      </c>
      <c r="F33" s="4">
        <f t="shared" si="2"/>
        <v>-0.27135804540627806</v>
      </c>
      <c r="G33" s="4">
        <f t="shared" si="3"/>
        <v>1.7130522641682688</v>
      </c>
      <c r="H33" s="4">
        <f t="shared" si="4"/>
        <v>2.4044063128905835</v>
      </c>
    </row>
    <row r="34" spans="1:11" x14ac:dyDescent="0.45">
      <c r="A34" s="2">
        <v>45261</v>
      </c>
      <c r="B34" s="3">
        <v>66327</v>
      </c>
      <c r="C34" s="3">
        <v>57935</v>
      </c>
      <c r="D34" s="4">
        <f t="shared" si="0"/>
        <v>-0.17158080101142836</v>
      </c>
      <c r="E34" s="4">
        <f t="shared" si="1"/>
        <v>-0.12584471107432993</v>
      </c>
      <c r="F34" s="4">
        <f t="shared" si="2"/>
        <v>-4.5736089937098434E-2</v>
      </c>
      <c r="G34" s="4">
        <f t="shared" si="3"/>
        <v>2.4766701687163994</v>
      </c>
      <c r="H34" s="4">
        <f t="shared" si="4"/>
        <v>1.7796282632374094</v>
      </c>
      <c r="J34" t="s">
        <v>93</v>
      </c>
      <c r="K34" t="s">
        <v>92</v>
      </c>
    </row>
    <row r="35" spans="1:11" x14ac:dyDescent="0.45">
      <c r="A35" s="2">
        <v>45292</v>
      </c>
      <c r="B35" s="3">
        <v>67090</v>
      </c>
      <c r="C35" s="3">
        <v>58738</v>
      </c>
      <c r="D35" s="4">
        <f t="shared" ref="D35:D60" si="5">IFERROR((B35/B34-1)*100,"")</f>
        <v>1.1503610897522831</v>
      </c>
      <c r="E35" s="4">
        <f t="shared" ref="E35:E60" si="6">IFERROR((C35/C34-1)*100,"")</f>
        <v>1.3860360749115452</v>
      </c>
      <c r="F35" s="4">
        <f t="shared" ref="F35:F66" si="7">IFERROR(D35-E35,"")</f>
        <v>-0.23567498515926211</v>
      </c>
      <c r="G35" s="4">
        <f t="shared" si="3"/>
        <v>1.13511313444985</v>
      </c>
      <c r="H35" s="4">
        <f t="shared" si="4"/>
        <v>0.96950527727164282</v>
      </c>
      <c r="J35">
        <f>B35/B$35*100</f>
        <v>100</v>
      </c>
      <c r="K35">
        <f>C35/C$35*100</f>
        <v>100</v>
      </c>
    </row>
    <row r="36" spans="1:11" x14ac:dyDescent="0.45">
      <c r="A36" s="2">
        <v>45323</v>
      </c>
      <c r="B36" s="3">
        <v>67161</v>
      </c>
      <c r="C36" s="3">
        <v>58815</v>
      </c>
      <c r="D36" s="4">
        <f t="shared" si="5"/>
        <v>0.1058279922492078</v>
      </c>
      <c r="E36" s="4">
        <f t="shared" si="6"/>
        <v>0.13109060574074682</v>
      </c>
      <c r="F36" s="4">
        <f t="shared" si="7"/>
        <v>-2.5262613491539021E-2</v>
      </c>
      <c r="G36" s="4">
        <f t="shared" si="3"/>
        <v>2.7020827598862374</v>
      </c>
      <c r="H36" s="4">
        <f t="shared" si="4"/>
        <v>2.5687977398765272</v>
      </c>
      <c r="J36">
        <f t="shared" ref="J36:J60" si="8">B36/B$35*100</f>
        <v>100.1058279922492</v>
      </c>
      <c r="K36">
        <f t="shared" ref="K36:K60" si="9">C36/C$35*100</f>
        <v>100.13109060574075</v>
      </c>
    </row>
    <row r="37" spans="1:11" x14ac:dyDescent="0.45">
      <c r="A37" s="2">
        <v>45352</v>
      </c>
      <c r="B37" s="3">
        <v>66655</v>
      </c>
      <c r="C37" s="3">
        <v>58254</v>
      </c>
      <c r="D37" s="4">
        <f t="shared" si="5"/>
        <v>-0.75341343934723914</v>
      </c>
      <c r="E37" s="4">
        <f t="shared" si="6"/>
        <v>-0.95383830655445534</v>
      </c>
      <c r="F37" s="4">
        <f t="shared" si="7"/>
        <v>0.2004248672072162</v>
      </c>
      <c r="G37" s="4">
        <f t="shared" si="3"/>
        <v>2.3069130648330161</v>
      </c>
      <c r="H37" s="4">
        <f t="shared" si="4"/>
        <v>1.5514957115961181</v>
      </c>
      <c r="J37">
        <f t="shared" si="8"/>
        <v>99.351617230585774</v>
      </c>
      <c r="K37">
        <f t="shared" si="9"/>
        <v>99.176001906772456</v>
      </c>
    </row>
    <row r="38" spans="1:11" x14ac:dyDescent="0.45">
      <c r="A38" s="2">
        <v>45383</v>
      </c>
      <c r="B38" s="3">
        <v>67248</v>
      </c>
      <c r="C38" s="3">
        <v>58456</v>
      </c>
      <c r="D38" s="4">
        <f t="shared" si="5"/>
        <v>0.8896556897457053</v>
      </c>
      <c r="E38" s="4">
        <f t="shared" si="6"/>
        <v>0.34675730421944717</v>
      </c>
      <c r="F38" s="4">
        <f t="shared" si="7"/>
        <v>0.54289838552625813</v>
      </c>
      <c r="G38" s="4">
        <f t="shared" si="3"/>
        <v>2.5997803002563158</v>
      </c>
      <c r="H38" s="4">
        <f t="shared" si="4"/>
        <v>1.6626086956521791</v>
      </c>
      <c r="J38">
        <f t="shared" si="8"/>
        <v>100.23550454613206</v>
      </c>
      <c r="K38">
        <f t="shared" si="9"/>
        <v>99.519901937417004</v>
      </c>
    </row>
    <row r="39" spans="1:11" x14ac:dyDescent="0.45">
      <c r="A39" s="2">
        <v>45413</v>
      </c>
      <c r="B39" s="3">
        <v>66882</v>
      </c>
      <c r="C39" s="3">
        <v>58009</v>
      </c>
      <c r="D39" s="4">
        <f t="shared" si="5"/>
        <v>-0.54425410421127252</v>
      </c>
      <c r="E39" s="4">
        <f t="shared" si="6"/>
        <v>-0.76467770630901377</v>
      </c>
      <c r="F39" s="4">
        <f t="shared" si="7"/>
        <v>0.22042360209774126</v>
      </c>
      <c r="G39" s="4">
        <f t="shared" si="3"/>
        <v>1.4716591819395664</v>
      </c>
      <c r="H39" s="4">
        <f t="shared" si="4"/>
        <v>0.17787448623631796</v>
      </c>
      <c r="J39">
        <f t="shared" si="8"/>
        <v>99.689968698762854</v>
      </c>
      <c r="K39">
        <f t="shared" si="9"/>
        <v>98.758895433960987</v>
      </c>
    </row>
    <row r="40" spans="1:11" x14ac:dyDescent="0.45">
      <c r="A40" s="2">
        <v>45444</v>
      </c>
      <c r="B40" s="3">
        <v>66442</v>
      </c>
      <c r="C40" s="3">
        <v>57819</v>
      </c>
      <c r="D40" s="4">
        <f t="shared" si="5"/>
        <v>-0.657875063544755</v>
      </c>
      <c r="E40" s="4">
        <f t="shared" si="6"/>
        <v>-0.32753538244065794</v>
      </c>
      <c r="F40" s="4">
        <f t="shared" si="7"/>
        <v>-0.33033968110409706</v>
      </c>
      <c r="G40" s="4">
        <f t="shared" si="3"/>
        <v>0.6712222912468313</v>
      </c>
      <c r="H40" s="4">
        <f t="shared" si="4"/>
        <v>-8.6402046000444432E-2</v>
      </c>
      <c r="J40">
        <f t="shared" si="8"/>
        <v>99.034133253838135</v>
      </c>
      <c r="K40">
        <f t="shared" si="9"/>
        <v>98.435425108107182</v>
      </c>
    </row>
    <row r="41" spans="1:11" x14ac:dyDescent="0.45">
      <c r="A41" s="2">
        <v>45474</v>
      </c>
      <c r="B41" s="3">
        <v>67787</v>
      </c>
      <c r="C41" s="3">
        <v>58888</v>
      </c>
      <c r="D41" s="4">
        <f t="shared" si="5"/>
        <v>2.0243219650221356</v>
      </c>
      <c r="E41" s="4">
        <f t="shared" si="6"/>
        <v>1.848873207769075</v>
      </c>
      <c r="F41" s="4">
        <f t="shared" si="7"/>
        <v>0.17544875725306053</v>
      </c>
      <c r="G41" s="4">
        <f t="shared" si="3"/>
        <v>2.8103861437194677</v>
      </c>
      <c r="H41" s="4">
        <f t="shared" si="4"/>
        <v>2.5816116782217957</v>
      </c>
      <c r="J41">
        <f t="shared" si="8"/>
        <v>101.03890296616484</v>
      </c>
      <c r="K41">
        <f t="shared" si="9"/>
        <v>100.25537130988458</v>
      </c>
    </row>
    <row r="42" spans="1:11" x14ac:dyDescent="0.45">
      <c r="A42" s="2">
        <v>45505</v>
      </c>
      <c r="B42" s="3">
        <v>67604</v>
      </c>
      <c r="C42" s="3">
        <v>58857</v>
      </c>
      <c r="D42" s="4">
        <f t="shared" si="5"/>
        <v>-0.26996326729313846</v>
      </c>
      <c r="E42" s="4">
        <f t="shared" si="6"/>
        <v>-5.2642304034777876E-2</v>
      </c>
      <c r="F42" s="4">
        <f t="shared" si="7"/>
        <v>-0.21732096325836059</v>
      </c>
      <c r="G42" s="4">
        <f t="shared" si="3"/>
        <v>2.5406118703453773</v>
      </c>
      <c r="H42" s="4">
        <f t="shared" si="4"/>
        <v>2.7872373867029898</v>
      </c>
      <c r="J42">
        <f t="shared" si="8"/>
        <v>100.76613504248024</v>
      </c>
      <c r="K42">
        <f t="shared" si="9"/>
        <v>100.20259457250842</v>
      </c>
    </row>
    <row r="43" spans="1:11" x14ac:dyDescent="0.45">
      <c r="A43" s="2">
        <v>45536</v>
      </c>
      <c r="B43" s="3">
        <v>68321</v>
      </c>
      <c r="C43" s="3">
        <v>59627</v>
      </c>
      <c r="D43" s="4">
        <f t="shared" si="5"/>
        <v>1.0605881308798359</v>
      </c>
      <c r="E43" s="4">
        <f t="shared" si="6"/>
        <v>1.3082556025621361</v>
      </c>
      <c r="F43" s="4">
        <f t="shared" si="7"/>
        <v>-0.24766747168230019</v>
      </c>
      <c r="G43" s="4">
        <f t="shared" si="3"/>
        <v>2.3811664568722746</v>
      </c>
      <c r="H43" s="4">
        <f t="shared" si="4"/>
        <v>3.1733947017804853</v>
      </c>
      <c r="J43">
        <f t="shared" si="8"/>
        <v>101.83484871068713</v>
      </c>
      <c r="K43">
        <f t="shared" si="9"/>
        <v>101.51350062991588</v>
      </c>
    </row>
    <row r="44" spans="1:11" x14ac:dyDescent="0.45">
      <c r="A44" s="2">
        <v>45566</v>
      </c>
      <c r="B44" s="3">
        <v>69042</v>
      </c>
      <c r="C44" s="3">
        <v>59957</v>
      </c>
      <c r="D44" s="4">
        <f t="shared" si="5"/>
        <v>1.0553124222420607</v>
      </c>
      <c r="E44" s="4">
        <f t="shared" si="6"/>
        <v>0.55344055545307747</v>
      </c>
      <c r="F44" s="4">
        <f t="shared" si="7"/>
        <v>0.50187186678898321</v>
      </c>
      <c r="G44" s="4">
        <f t="shared" si="3"/>
        <v>3.5593754218602447</v>
      </c>
      <c r="H44" s="4">
        <f t="shared" si="4"/>
        <v>3.2868783269306867</v>
      </c>
      <c r="J44">
        <f t="shared" si="8"/>
        <v>102.90952451930242</v>
      </c>
      <c r="K44">
        <f t="shared" si="9"/>
        <v>102.07531751166196</v>
      </c>
    </row>
    <row r="45" spans="1:11" x14ac:dyDescent="0.45">
      <c r="A45" s="2">
        <v>45597</v>
      </c>
      <c r="B45" s="3">
        <v>69070</v>
      </c>
      <c r="C45" s="3">
        <v>59539</v>
      </c>
      <c r="D45" s="4">
        <f t="shared" si="5"/>
        <v>4.0555024477861856E-2</v>
      </c>
      <c r="E45" s="4">
        <f t="shared" si="6"/>
        <v>-0.69716630251680511</v>
      </c>
      <c r="F45" s="4">
        <f t="shared" si="7"/>
        <v>0.73772132699466697</v>
      </c>
      <c r="G45" s="4">
        <f t="shared" si="3"/>
        <v>3.9568940864827429</v>
      </c>
      <c r="H45" s="4">
        <f t="shared" si="4"/>
        <v>2.6392911322576262</v>
      </c>
      <c r="J45">
        <f t="shared" si="8"/>
        <v>102.95125950216129</v>
      </c>
      <c r="K45">
        <f t="shared" si="9"/>
        <v>101.3636827947836</v>
      </c>
    </row>
    <row r="46" spans="1:11" x14ac:dyDescent="0.45">
      <c r="A46" s="2">
        <v>45627</v>
      </c>
      <c r="B46" s="3">
        <v>70891</v>
      </c>
      <c r="C46" s="3">
        <v>60849</v>
      </c>
      <c r="D46" s="4">
        <f t="shared" si="5"/>
        <v>2.6364557695091939</v>
      </c>
      <c r="E46" s="4">
        <f t="shared" si="6"/>
        <v>2.200238499135021</v>
      </c>
      <c r="F46" s="4">
        <f t="shared" si="7"/>
        <v>0.43621727037417291</v>
      </c>
      <c r="G46" s="4">
        <f t="shared" si="3"/>
        <v>6.8810589955824897</v>
      </c>
      <c r="H46" s="4">
        <f t="shared" si="4"/>
        <v>5.0297747475619214</v>
      </c>
      <c r="J46">
        <f t="shared" si="8"/>
        <v>105.66552392308839</v>
      </c>
      <c r="K46">
        <f t="shared" si="9"/>
        <v>103.59392556777553</v>
      </c>
    </row>
    <row r="47" spans="1:11" x14ac:dyDescent="0.45">
      <c r="A47" s="2">
        <v>45658</v>
      </c>
      <c r="B47" s="3">
        <v>70574</v>
      </c>
      <c r="C47" s="3">
        <v>60220</v>
      </c>
      <c r="D47" s="4">
        <f t="shared" si="5"/>
        <v>-0.44716536654864081</v>
      </c>
      <c r="E47" s="4">
        <f t="shared" si="6"/>
        <v>-1.0337063879439223</v>
      </c>
      <c r="F47" s="4">
        <f t="shared" si="7"/>
        <v>0.58654102139528153</v>
      </c>
      <c r="G47" s="4">
        <f t="shared" si="3"/>
        <v>5.1930242957221706</v>
      </c>
      <c r="H47" s="4">
        <f t="shared" si="4"/>
        <v>2.5230685416595788</v>
      </c>
      <c r="J47">
        <f t="shared" si="8"/>
        <v>105.19302429572217</v>
      </c>
      <c r="K47">
        <f t="shared" si="9"/>
        <v>102.52306854165958</v>
      </c>
    </row>
    <row r="48" spans="1:11" x14ac:dyDescent="0.45">
      <c r="A48" s="2">
        <v>45689</v>
      </c>
      <c r="B48" s="3">
        <v>69400</v>
      </c>
      <c r="C48" s="3">
        <v>59368</v>
      </c>
      <c r="D48" s="4">
        <f t="shared" si="5"/>
        <v>-1.6635021395981497</v>
      </c>
      <c r="E48" s="4">
        <f t="shared" si="6"/>
        <v>-1.4148123546994351</v>
      </c>
      <c r="F48" s="4">
        <f t="shared" si="7"/>
        <v>-0.24868978489871463</v>
      </c>
      <c r="G48" s="4">
        <f t="shared" si="3"/>
        <v>3.3337800211432178</v>
      </c>
      <c r="H48" s="4">
        <f t="shared" si="4"/>
        <v>0.94023633426847386</v>
      </c>
      <c r="J48">
        <f t="shared" si="8"/>
        <v>103.44313608585483</v>
      </c>
      <c r="K48">
        <f t="shared" si="9"/>
        <v>101.07255950151522</v>
      </c>
    </row>
    <row r="49" spans="1:11" x14ac:dyDescent="0.45">
      <c r="A49" s="2">
        <v>45717</v>
      </c>
      <c r="B49" s="3">
        <v>70270</v>
      </c>
      <c r="C49" s="3">
        <v>60253</v>
      </c>
      <c r="D49" s="4">
        <f t="shared" si="5"/>
        <v>1.2536023054755097</v>
      </c>
      <c r="E49" s="4">
        <f t="shared" si="6"/>
        <v>1.4907020617167532</v>
      </c>
      <c r="F49" s="4">
        <f t="shared" si="7"/>
        <v>-0.23709975624124358</v>
      </c>
      <c r="G49" s="4">
        <f t="shared" si="3"/>
        <v>5.4234491035931365</v>
      </c>
      <c r="H49" s="4">
        <f t="shared" si="4"/>
        <v>3.4315240155182503</v>
      </c>
      <c r="J49">
        <f t="shared" si="8"/>
        <v>104.73990162468326</v>
      </c>
      <c r="K49">
        <f t="shared" si="9"/>
        <v>102.57925022983419</v>
      </c>
    </row>
    <row r="50" spans="1:11" x14ac:dyDescent="0.45">
      <c r="A50" s="2">
        <v>45748</v>
      </c>
      <c r="B50" s="3">
        <v>70413</v>
      </c>
      <c r="C50" s="3">
        <v>60598</v>
      </c>
      <c r="D50" s="4">
        <f t="shared" si="5"/>
        <v>0.20350078269530947</v>
      </c>
      <c r="E50" s="4">
        <f t="shared" si="6"/>
        <v>0.57258559739763459</v>
      </c>
      <c r="F50" s="4">
        <f t="shared" si="7"/>
        <v>-0.36908481470232513</v>
      </c>
      <c r="G50" s="4">
        <f t="shared" si="3"/>
        <v>4.7064596716630991</v>
      </c>
      <c r="H50" s="4">
        <f t="shared" si="4"/>
        <v>3.6642945121116766</v>
      </c>
      <c r="J50">
        <f t="shared" si="8"/>
        <v>104.95304814428378</v>
      </c>
      <c r="K50">
        <f t="shared" si="9"/>
        <v>103.1666042425687</v>
      </c>
    </row>
    <row r="51" spans="1:11" x14ac:dyDescent="0.45">
      <c r="A51" s="2">
        <v>45778</v>
      </c>
      <c r="B51" s="3">
        <v>69613</v>
      </c>
      <c r="C51" s="3">
        <v>59789</v>
      </c>
      <c r="D51" s="4">
        <f t="shared" si="5"/>
        <v>-1.1361538352292921</v>
      </c>
      <c r="E51" s="4">
        <f t="shared" si="6"/>
        <v>-1.3350275586653026</v>
      </c>
      <c r="F51" s="4">
        <f t="shared" si="7"/>
        <v>0.19887372343601051</v>
      </c>
      <c r="G51" s="4">
        <f t="shared" si="3"/>
        <v>4.08331090577434</v>
      </c>
      <c r="H51" s="4">
        <f t="shared" si="4"/>
        <v>3.0684893723387674</v>
      </c>
      <c r="J51">
        <f t="shared" si="8"/>
        <v>103.76062006260247</v>
      </c>
      <c r="K51">
        <f t="shared" si="9"/>
        <v>101.78930164459123</v>
      </c>
    </row>
    <row r="52" spans="1:11" x14ac:dyDescent="0.45">
      <c r="A52" s="2">
        <v>45809</v>
      </c>
      <c r="B52" s="3">
        <v>70579</v>
      </c>
      <c r="C52" s="3">
        <v>60569</v>
      </c>
      <c r="D52" s="4">
        <f t="shared" si="5"/>
        <v>1.3876718429029156</v>
      </c>
      <c r="E52" s="4">
        <f t="shared" si="6"/>
        <v>1.3045878004315226</v>
      </c>
      <c r="F52" s="4">
        <f t="shared" si="7"/>
        <v>8.3084042471393005E-2</v>
      </c>
      <c r="G52" s="4">
        <f t="shared" si="3"/>
        <v>6.2264832485475985</v>
      </c>
      <c r="H52" s="4">
        <f t="shared" si="4"/>
        <v>4.7562220031477587</v>
      </c>
      <c r="J52">
        <f t="shared" si="8"/>
        <v>105.20047697123267</v>
      </c>
      <c r="K52">
        <f t="shared" si="9"/>
        <v>103.117232455991</v>
      </c>
    </row>
    <row r="53" spans="1:11" x14ac:dyDescent="0.45">
      <c r="A53" s="2">
        <v>45839</v>
      </c>
      <c r="B53" s="3">
        <v>70135</v>
      </c>
      <c r="C53" s="3">
        <v>60018</v>
      </c>
      <c r="D53" s="4">
        <f t="shared" si="5"/>
        <v>-0.62908230493489148</v>
      </c>
      <c r="E53" s="4">
        <f t="shared" si="6"/>
        <v>-0.90970628539351894</v>
      </c>
      <c r="F53" s="4">
        <f t="shared" si="7"/>
        <v>0.28062398045862746</v>
      </c>
      <c r="G53" s="4">
        <f t="shared" si="3"/>
        <v>3.4637909923731725</v>
      </c>
      <c r="H53" s="4">
        <f t="shared" si="4"/>
        <v>1.9188968890096358</v>
      </c>
      <c r="J53">
        <f t="shared" si="8"/>
        <v>104.53867938589954</v>
      </c>
      <c r="K53">
        <f t="shared" si="9"/>
        <v>102.17916851101501</v>
      </c>
    </row>
    <row r="54" spans="1:11" x14ac:dyDescent="0.45">
      <c r="A54" s="2">
        <v>45870</v>
      </c>
      <c r="B54" s="3">
        <v>70780</v>
      </c>
      <c r="C54" s="3">
        <v>60666</v>
      </c>
      <c r="D54" s="4">
        <f t="shared" si="5"/>
        <v>0.91965495116561602</v>
      </c>
      <c r="E54" s="4">
        <f t="shared" si="6"/>
        <v>1.0796760971708563</v>
      </c>
      <c r="F54" s="4">
        <f t="shared" si="7"/>
        <v>-0.16002114600524031</v>
      </c>
      <c r="G54" s="4">
        <f t="shared" si="3"/>
        <v>4.6979468670492963</v>
      </c>
      <c r="H54" s="4">
        <f t="shared" si="4"/>
        <v>3.0735511493960033</v>
      </c>
      <c r="J54">
        <f t="shared" si="8"/>
        <v>105.5000745267551</v>
      </c>
      <c r="K54">
        <f t="shared" si="9"/>
        <v>103.28237256971637</v>
      </c>
    </row>
    <row r="55" spans="1:11" x14ac:dyDescent="0.45">
      <c r="A55" s="2">
        <v>45901</v>
      </c>
      <c r="B55" s="3">
        <v>70059</v>
      </c>
      <c r="C55" s="3">
        <v>59921</v>
      </c>
      <c r="D55" s="4">
        <f t="shared" si="5"/>
        <v>-1.0186493359706117</v>
      </c>
      <c r="E55" s="4">
        <f t="shared" si="6"/>
        <v>-1.2280354729172882</v>
      </c>
      <c r="F55" s="4">
        <f t="shared" si="7"/>
        <v>0.20938613694667652</v>
      </c>
      <c r="G55" s="4">
        <f t="shared" si="3"/>
        <v>2.5438737723394</v>
      </c>
      <c r="H55" s="4">
        <f t="shared" si="4"/>
        <v>0.4930652221309062</v>
      </c>
      <c r="J55">
        <f t="shared" si="8"/>
        <v>104.4253987181398</v>
      </c>
      <c r="K55">
        <f t="shared" si="9"/>
        <v>102.01402839728966</v>
      </c>
    </row>
    <row r="56" spans="1:11" x14ac:dyDescent="0.45">
      <c r="A56" s="2">
        <v>45931</v>
      </c>
      <c r="B56" s="3">
        <v>70113</v>
      </c>
      <c r="C56" s="3">
        <v>59576</v>
      </c>
      <c r="D56" s="4">
        <f t="shared" si="5"/>
        <v>7.7077891491450501E-2</v>
      </c>
      <c r="E56" s="4">
        <f t="shared" si="6"/>
        <v>-0.5757580814739427</v>
      </c>
      <c r="F56" s="4">
        <f t="shared" si="7"/>
        <v>0.6528359729653932</v>
      </c>
      <c r="G56" s="4">
        <f t="shared" si="3"/>
        <v>1.5512296862779218</v>
      </c>
      <c r="H56" s="4">
        <f t="shared" si="4"/>
        <v>-0.63545540971029491</v>
      </c>
      <c r="J56">
        <f t="shared" si="8"/>
        <v>104.50588761365329</v>
      </c>
      <c r="K56">
        <f t="shared" si="9"/>
        <v>101.42667438455516</v>
      </c>
    </row>
    <row r="57" spans="1:11" x14ac:dyDescent="0.45">
      <c r="A57" s="2">
        <v>45962</v>
      </c>
      <c r="B57" s="3">
        <v>70985</v>
      </c>
      <c r="C57" s="3">
        <v>60197</v>
      </c>
      <c r="D57" s="4">
        <f t="shared" si="5"/>
        <v>1.2437065879366216</v>
      </c>
      <c r="E57" s="4">
        <f t="shared" si="6"/>
        <v>1.0423660534443435</v>
      </c>
      <c r="F57" s="4">
        <f t="shared" si="7"/>
        <v>0.20134053449227807</v>
      </c>
      <c r="G57" s="4">
        <f t="shared" si="3"/>
        <v>2.7725495873751171</v>
      </c>
      <c r="H57" s="4">
        <f t="shared" si="4"/>
        <v>1.1051579636876641</v>
      </c>
      <c r="J57">
        <f t="shared" si="8"/>
        <v>105.80563422268594</v>
      </c>
      <c r="K57">
        <f t="shared" si="9"/>
        <v>102.48391160747727</v>
      </c>
    </row>
    <row r="58" spans="1:11" x14ac:dyDescent="0.45">
      <c r="A58" s="2">
        <v>45992</v>
      </c>
      <c r="B58" s="3">
        <v>70709</v>
      </c>
      <c r="C58" s="3">
        <v>59996</v>
      </c>
      <c r="D58" s="4">
        <f t="shared" si="5"/>
        <v>-0.38881453828273349</v>
      </c>
      <c r="E58" s="4">
        <f t="shared" si="6"/>
        <v>-0.33390368290778794</v>
      </c>
      <c r="F58" s="4">
        <f t="shared" si="7"/>
        <v>-5.4910855374945555E-2</v>
      </c>
      <c r="G58" s="4">
        <f t="shared" si="3"/>
        <v>-0.25673216628344653</v>
      </c>
      <c r="H58" s="4">
        <f t="shared" si="4"/>
        <v>-1.4018307613929526</v>
      </c>
      <c r="J58">
        <f t="shared" si="8"/>
        <v>105.39424653450588</v>
      </c>
      <c r="K58">
        <f t="shared" si="9"/>
        <v>102.14171405223193</v>
      </c>
    </row>
    <row r="59" spans="1:11" x14ac:dyDescent="0.45">
      <c r="A59" s="2">
        <v>46023</v>
      </c>
      <c r="B59" s="3">
        <v>71591</v>
      </c>
      <c r="C59" s="3">
        <v>60620</v>
      </c>
      <c r="D59" s="4">
        <f t="shared" si="5"/>
        <v>1.247365964728675</v>
      </c>
      <c r="E59" s="4">
        <f t="shared" si="6"/>
        <v>1.0400693379558623</v>
      </c>
      <c r="F59" s="4">
        <f t="shared" si="7"/>
        <v>0.20729662677281269</v>
      </c>
      <c r="G59" s="4">
        <f t="shared" si="3"/>
        <v>1.4410406098563255</v>
      </c>
      <c r="H59" s="4">
        <f t="shared" si="4"/>
        <v>0.66423115244105269</v>
      </c>
      <c r="J59">
        <f t="shared" si="8"/>
        <v>106.70889849455956</v>
      </c>
      <c r="K59">
        <f t="shared" si="9"/>
        <v>103.20405870135177</v>
      </c>
    </row>
    <row r="60" spans="1:11" x14ac:dyDescent="0.45">
      <c r="A60" s="2">
        <v>46054</v>
      </c>
      <c r="B60" s="3">
        <v>72063</v>
      </c>
      <c r="C60" s="3">
        <v>60807</v>
      </c>
      <c r="D60" s="4">
        <f t="shared" si="5"/>
        <v>0.65930075009428268</v>
      </c>
      <c r="E60" s="4">
        <f t="shared" si="6"/>
        <v>0.30847904981854413</v>
      </c>
      <c r="F60" s="4">
        <f t="shared" si="7"/>
        <v>0.35082170027573856</v>
      </c>
      <c r="G60" s="4">
        <f t="shared" si="3"/>
        <v>3.837175792507197</v>
      </c>
      <c r="H60" s="4">
        <f t="shared" si="4"/>
        <v>2.4238647082603482</v>
      </c>
      <c r="J60">
        <f t="shared" si="8"/>
        <v>107.41243106275154</v>
      </c>
      <c r="K60">
        <f t="shared" si="9"/>
        <v>103.52242160100786</v>
      </c>
    </row>
    <row r="61" spans="1:11" x14ac:dyDescent="0.45">
      <c r="A61" s="2">
        <f>EOMONTH(A60,0)+1</f>
        <v>46082</v>
      </c>
      <c r="B61" s="5">
        <v>73000</v>
      </c>
      <c r="C61" s="5">
        <v>61000</v>
      </c>
      <c r="D61" s="4">
        <f t="shared" ref="D61" si="10">IFERROR((B61/B60-1)*100,"")</f>
        <v>1.300251169115918</v>
      </c>
      <c r="E61" s="4">
        <f t="shared" ref="E61" si="11">IFERROR((C61/C60-1)*100,"")</f>
        <v>0.31739766803164926</v>
      </c>
      <c r="F61" s="4">
        <f t="shared" ref="F61" si="12">IFERROR(D61-E61,"")</f>
        <v>0.98285350108426872</v>
      </c>
      <c r="G61" s="4">
        <f t="shared" ref="G61" si="13">IFERROR((B61/B49-1)*100,"")</f>
        <v>3.8850149423651725</v>
      </c>
      <c r="H61" s="4">
        <f t="shared" ref="H61" si="14">IFERROR((C61/C49-1)*100,"")</f>
        <v>1.2397722934957667</v>
      </c>
      <c r="J61">
        <f t="shared" ref="J61" si="15">B61/B$35*100</f>
        <v>108.80906245342076</v>
      </c>
      <c r="K61">
        <f t="shared" ref="K61" si="16">C61/C$35*100</f>
        <v>103.85099935305935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0"/>
  <sheetViews>
    <sheetView workbookViewId="0">
      <pane ySplit="1" topLeftCell="A2" activePane="bottomLeft" state="frozen"/>
      <selection pane="bottomLeft" activeCell="C2" sqref="C2"/>
    </sheetView>
  </sheetViews>
  <sheetFormatPr defaultRowHeight="14.25" x14ac:dyDescent="0.45"/>
  <cols>
    <col min="1" max="1" width="11" customWidth="1"/>
    <col min="2" max="2" width="12" customWidth="1"/>
    <col min="3" max="3" width="11" customWidth="1"/>
    <col min="4" max="4" width="14" customWidth="1"/>
    <col min="5" max="5" width="12" customWidth="1"/>
    <col min="6" max="6" width="14" customWidth="1"/>
    <col min="7" max="7" width="12" customWidth="1"/>
    <col min="8" max="8" width="11" customWidth="1"/>
    <col min="9" max="9" width="14" customWidth="1"/>
    <col min="10" max="10" width="12" customWidth="1"/>
    <col min="11" max="11" width="14" customWidth="1"/>
  </cols>
  <sheetData>
    <row r="1" spans="1:11" ht="22.05" customHeight="1" x14ac:dyDescent="0.4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 x14ac:dyDescent="0.45">
      <c r="A2" s="2">
        <v>44287</v>
      </c>
      <c r="B2" s="3">
        <v>16372</v>
      </c>
      <c r="C2" s="3">
        <v>5470</v>
      </c>
      <c r="D2" s="3">
        <v>12172</v>
      </c>
      <c r="E2" s="3">
        <v>6753</v>
      </c>
      <c r="F2" s="3">
        <v>4587</v>
      </c>
    </row>
    <row r="3" spans="1:11" x14ac:dyDescent="0.45">
      <c r="A3" s="2">
        <v>44317</v>
      </c>
      <c r="B3" s="3">
        <v>15859</v>
      </c>
      <c r="C3" s="3">
        <v>5441</v>
      </c>
      <c r="D3" s="3">
        <v>12131</v>
      </c>
      <c r="E3" s="3">
        <v>6818</v>
      </c>
      <c r="F3" s="3">
        <v>4036</v>
      </c>
      <c r="G3" s="4">
        <f t="shared" ref="G3:G34" si="0">IFERROR((B3/B2-1)*100,"")</f>
        <v>-3.1333984852186636</v>
      </c>
      <c r="H3" s="4">
        <f t="shared" ref="H3:H34" si="1">IFERROR((C3/C2-1)*100,"")</f>
        <v>-0.53016453382084272</v>
      </c>
      <c r="I3" s="4">
        <f t="shared" ref="I3:I34" si="2">IFERROR((D3/D2-1)*100,"")</f>
        <v>-0.33683864607295666</v>
      </c>
      <c r="J3" s="4">
        <f t="shared" ref="J3:J34" si="3">IFERROR((E3/E2-1)*100,"")</f>
        <v>0.96253516955426832</v>
      </c>
      <c r="K3" s="4">
        <f t="shared" ref="K3:K34" si="4">IFERROR((F3/F2-1)*100,"")</f>
        <v>-12.012208415086112</v>
      </c>
    </row>
    <row r="4" spans="1:11" x14ac:dyDescent="0.45">
      <c r="A4" s="2">
        <v>44348</v>
      </c>
      <c r="B4" s="3">
        <v>16011</v>
      </c>
      <c r="C4" s="3">
        <v>5694</v>
      </c>
      <c r="D4" s="3">
        <v>11941</v>
      </c>
      <c r="E4" s="3">
        <v>7578</v>
      </c>
      <c r="F4" s="3">
        <v>3882</v>
      </c>
      <c r="G4" s="4">
        <f t="shared" si="0"/>
        <v>0.95844630809003295</v>
      </c>
      <c r="H4" s="4">
        <f t="shared" si="1"/>
        <v>4.6498805366660623</v>
      </c>
      <c r="I4" s="4">
        <f t="shared" si="2"/>
        <v>-1.5662352650234967</v>
      </c>
      <c r="J4" s="4">
        <f t="shared" si="3"/>
        <v>11.146963919037844</v>
      </c>
      <c r="K4" s="4">
        <f t="shared" si="4"/>
        <v>-3.8156590683845359</v>
      </c>
    </row>
    <row r="5" spans="1:11" x14ac:dyDescent="0.45">
      <c r="A5" s="2">
        <v>44378</v>
      </c>
      <c r="B5" s="3">
        <v>16383</v>
      </c>
      <c r="C5" s="3">
        <v>5874</v>
      </c>
      <c r="D5" s="3">
        <v>11588</v>
      </c>
      <c r="E5" s="3">
        <v>7573</v>
      </c>
      <c r="F5" s="3">
        <v>3769</v>
      </c>
      <c r="G5" s="4">
        <f t="shared" si="0"/>
        <v>2.3234026606707925</v>
      </c>
      <c r="H5" s="4">
        <f t="shared" si="1"/>
        <v>3.1612223393045369</v>
      </c>
      <c r="I5" s="4">
        <f t="shared" si="2"/>
        <v>-2.9562013231722584</v>
      </c>
      <c r="J5" s="4">
        <f t="shared" si="3"/>
        <v>-6.5980469780946294E-2</v>
      </c>
      <c r="K5" s="4">
        <f t="shared" si="4"/>
        <v>-2.9108706852138067</v>
      </c>
    </row>
    <row r="6" spans="1:11" x14ac:dyDescent="0.45">
      <c r="A6" s="2">
        <v>44409</v>
      </c>
      <c r="B6" s="3">
        <v>16475</v>
      </c>
      <c r="C6" s="3">
        <v>6104</v>
      </c>
      <c r="D6" s="3">
        <v>11930</v>
      </c>
      <c r="E6" s="3">
        <v>7697</v>
      </c>
      <c r="F6" s="3">
        <v>3764</v>
      </c>
      <c r="G6" s="4">
        <f t="shared" si="0"/>
        <v>0.56155771226271689</v>
      </c>
      <c r="H6" s="4">
        <f t="shared" si="1"/>
        <v>3.9155600953353797</v>
      </c>
      <c r="I6" s="4">
        <f t="shared" si="2"/>
        <v>2.9513289609941262</v>
      </c>
      <c r="J6" s="4">
        <f t="shared" si="3"/>
        <v>1.6373960121484288</v>
      </c>
      <c r="K6" s="4">
        <f t="shared" si="4"/>
        <v>-0.13266118333775667</v>
      </c>
    </row>
    <row r="7" spans="1:11" x14ac:dyDescent="0.45">
      <c r="A7" s="2">
        <v>44440</v>
      </c>
      <c r="B7" s="3">
        <v>16109</v>
      </c>
      <c r="C7" s="3">
        <v>6102</v>
      </c>
      <c r="D7" s="3">
        <v>12056</v>
      </c>
      <c r="E7" s="3">
        <v>7727</v>
      </c>
      <c r="F7" s="3">
        <v>3812</v>
      </c>
      <c r="G7" s="4">
        <f t="shared" si="0"/>
        <v>-2.2215477996965105</v>
      </c>
      <c r="H7" s="4">
        <f t="shared" si="1"/>
        <v>-3.2765399737877399E-2</v>
      </c>
      <c r="I7" s="4">
        <f t="shared" si="2"/>
        <v>1.0561609388097137</v>
      </c>
      <c r="J7" s="4">
        <f t="shared" si="3"/>
        <v>0.3897622450305338</v>
      </c>
      <c r="K7" s="4">
        <f t="shared" si="4"/>
        <v>1.2752391073326264</v>
      </c>
    </row>
    <row r="8" spans="1:11" x14ac:dyDescent="0.45">
      <c r="A8" s="2">
        <v>44470</v>
      </c>
      <c r="B8" s="3">
        <v>16454</v>
      </c>
      <c r="C8" s="3">
        <v>6211</v>
      </c>
      <c r="D8" s="3">
        <v>11914</v>
      </c>
      <c r="E8" s="3">
        <v>7916</v>
      </c>
      <c r="F8" s="3">
        <v>3938</v>
      </c>
      <c r="G8" s="4">
        <f t="shared" si="0"/>
        <v>2.1416599416475224</v>
      </c>
      <c r="H8" s="4">
        <f t="shared" si="1"/>
        <v>1.7862995739101883</v>
      </c>
      <c r="I8" s="4">
        <f t="shared" si="2"/>
        <v>-1.1778367617783725</v>
      </c>
      <c r="J8" s="4">
        <f t="shared" si="3"/>
        <v>2.4459686812475789</v>
      </c>
      <c r="K8" s="4">
        <f t="shared" si="4"/>
        <v>3.305351521511013</v>
      </c>
    </row>
    <row r="9" spans="1:11" x14ac:dyDescent="0.45">
      <c r="A9" s="2">
        <v>44501</v>
      </c>
      <c r="B9" s="3">
        <v>16409</v>
      </c>
      <c r="C9" s="3">
        <v>6412</v>
      </c>
      <c r="D9" s="3">
        <v>12133</v>
      </c>
      <c r="E9" s="3">
        <v>8035</v>
      </c>
      <c r="F9" s="3">
        <v>4089</v>
      </c>
      <c r="G9" s="4">
        <f t="shared" si="0"/>
        <v>-0.27348972894128964</v>
      </c>
      <c r="H9" s="4">
        <f t="shared" si="1"/>
        <v>3.236193849621638</v>
      </c>
      <c r="I9" s="4">
        <f t="shared" si="2"/>
        <v>1.8381735773040031</v>
      </c>
      <c r="J9" s="4">
        <f t="shared" si="3"/>
        <v>1.5032844871146978</v>
      </c>
      <c r="K9" s="4">
        <f t="shared" si="4"/>
        <v>3.8344337227018688</v>
      </c>
    </row>
    <row r="10" spans="1:11" x14ac:dyDescent="0.45">
      <c r="A10" s="2">
        <v>44531</v>
      </c>
      <c r="B10" s="3">
        <v>16526</v>
      </c>
      <c r="C10" s="3">
        <v>6266</v>
      </c>
      <c r="D10" s="3">
        <v>11926</v>
      </c>
      <c r="E10" s="3">
        <v>7782</v>
      </c>
      <c r="F10" s="3">
        <v>4081</v>
      </c>
      <c r="G10" s="4">
        <f t="shared" si="0"/>
        <v>0.7130233408495279</v>
      </c>
      <c r="H10" s="4">
        <f t="shared" si="1"/>
        <v>-2.2769806612601418</v>
      </c>
      <c r="I10" s="4">
        <f t="shared" si="2"/>
        <v>-1.7060908266710584</v>
      </c>
      <c r="J10" s="4">
        <f t="shared" si="3"/>
        <v>-3.1487243310516444</v>
      </c>
      <c r="K10" s="4">
        <f t="shared" si="4"/>
        <v>-0.19564685742234911</v>
      </c>
    </row>
    <row r="11" spans="1:11" x14ac:dyDescent="0.45">
      <c r="A11" s="2">
        <v>44562</v>
      </c>
      <c r="B11" s="3">
        <v>17215</v>
      </c>
      <c r="C11" s="3">
        <v>6205</v>
      </c>
      <c r="D11" s="3">
        <v>12219</v>
      </c>
      <c r="E11" s="3">
        <v>7989</v>
      </c>
      <c r="F11" s="3">
        <v>4219</v>
      </c>
      <c r="G11" s="4">
        <f t="shared" si="0"/>
        <v>4.1691879462664838</v>
      </c>
      <c r="H11" s="4">
        <f t="shared" si="1"/>
        <v>-0.97350781998084557</v>
      </c>
      <c r="I11" s="4">
        <f t="shared" si="2"/>
        <v>2.4568170384034804</v>
      </c>
      <c r="J11" s="4">
        <f t="shared" si="3"/>
        <v>2.6599845797995458</v>
      </c>
      <c r="K11" s="4">
        <f t="shared" si="4"/>
        <v>3.3815241362411097</v>
      </c>
    </row>
    <row r="12" spans="1:11" x14ac:dyDescent="0.45">
      <c r="A12" s="2">
        <v>44593</v>
      </c>
      <c r="B12" s="3">
        <v>16300</v>
      </c>
      <c r="C12" s="3">
        <v>6875</v>
      </c>
      <c r="D12" s="3">
        <v>12156</v>
      </c>
      <c r="E12" s="3">
        <v>8007</v>
      </c>
      <c r="F12" s="3">
        <v>4444</v>
      </c>
      <c r="G12" s="4">
        <f t="shared" si="0"/>
        <v>-5.3151321521928585</v>
      </c>
      <c r="H12" s="4">
        <f t="shared" si="1"/>
        <v>10.79774375503626</v>
      </c>
      <c r="I12" s="4">
        <f t="shared" si="2"/>
        <v>-0.51559047385220103</v>
      </c>
      <c r="J12" s="4">
        <f t="shared" si="3"/>
        <v>0.22530980097634767</v>
      </c>
      <c r="K12" s="4">
        <f t="shared" si="4"/>
        <v>5.3330173026783667</v>
      </c>
    </row>
    <row r="13" spans="1:11" x14ac:dyDescent="0.45">
      <c r="A13" s="2">
        <v>44621</v>
      </c>
      <c r="B13" s="3">
        <v>15735</v>
      </c>
      <c r="C13" s="3">
        <v>7616</v>
      </c>
      <c r="D13" s="3">
        <v>12248</v>
      </c>
      <c r="E13" s="3">
        <v>8142</v>
      </c>
      <c r="F13" s="3">
        <v>4527</v>
      </c>
      <c r="G13" s="4">
        <f t="shared" si="0"/>
        <v>-3.4662576687116586</v>
      </c>
      <c r="H13" s="4">
        <f t="shared" si="1"/>
        <v>10.778181818181821</v>
      </c>
      <c r="I13" s="4">
        <f t="shared" si="2"/>
        <v>0.75682790391575772</v>
      </c>
      <c r="J13" s="4">
        <f t="shared" si="3"/>
        <v>1.6860247283626784</v>
      </c>
      <c r="K13" s="4">
        <f t="shared" si="4"/>
        <v>1.8676867686768572</v>
      </c>
    </row>
    <row r="14" spans="1:11" x14ac:dyDescent="0.45">
      <c r="A14" s="2">
        <v>44652</v>
      </c>
      <c r="B14" s="3">
        <v>15769</v>
      </c>
      <c r="C14" s="3">
        <v>7776</v>
      </c>
      <c r="D14" s="3">
        <v>12087</v>
      </c>
      <c r="E14" s="3">
        <v>8217</v>
      </c>
      <c r="F14" s="3">
        <v>4305</v>
      </c>
      <c r="G14" s="4">
        <f t="shared" si="0"/>
        <v>0.21607880521130607</v>
      </c>
      <c r="H14" s="4">
        <f t="shared" si="1"/>
        <v>2.1008403361344463</v>
      </c>
      <c r="I14" s="4">
        <f t="shared" si="2"/>
        <v>-1.3145003265839339</v>
      </c>
      <c r="J14" s="4">
        <f t="shared" si="3"/>
        <v>0.92114959469418167</v>
      </c>
      <c r="K14" s="4">
        <f t="shared" si="4"/>
        <v>-4.9039098740887965</v>
      </c>
    </row>
    <row r="15" spans="1:11" x14ac:dyDescent="0.45">
      <c r="A15" s="2">
        <v>44682</v>
      </c>
      <c r="B15" s="3">
        <v>16398</v>
      </c>
      <c r="C15" s="3">
        <v>8623</v>
      </c>
      <c r="D15" s="3">
        <v>12290</v>
      </c>
      <c r="E15" s="3">
        <v>8463</v>
      </c>
      <c r="F15" s="3">
        <v>4196</v>
      </c>
      <c r="G15" s="4">
        <f t="shared" si="0"/>
        <v>3.9888388610564984</v>
      </c>
      <c r="H15" s="4">
        <f t="shared" si="1"/>
        <v>10.89248971193415</v>
      </c>
      <c r="I15" s="4">
        <f t="shared" si="2"/>
        <v>1.6794903615454659</v>
      </c>
      <c r="J15" s="4">
        <f t="shared" si="3"/>
        <v>2.9937933552391494</v>
      </c>
      <c r="K15" s="4">
        <f t="shared" si="4"/>
        <v>-2.5319396051103338</v>
      </c>
    </row>
    <row r="16" spans="1:11" x14ac:dyDescent="0.45">
      <c r="A16" s="2">
        <v>44713</v>
      </c>
      <c r="B16" s="3">
        <v>16586</v>
      </c>
      <c r="C16" s="3">
        <v>8848</v>
      </c>
      <c r="D16" s="3">
        <v>12181</v>
      </c>
      <c r="E16" s="3">
        <v>8725</v>
      </c>
      <c r="F16" s="3">
        <v>4236</v>
      </c>
      <c r="G16" s="4">
        <f t="shared" si="0"/>
        <v>1.1464812782046696</v>
      </c>
      <c r="H16" s="4">
        <f t="shared" si="1"/>
        <v>2.6093007074104113</v>
      </c>
      <c r="I16" s="4">
        <f t="shared" si="2"/>
        <v>-0.88689991863303286</v>
      </c>
      <c r="J16" s="4">
        <f t="shared" si="3"/>
        <v>3.0958289022805063</v>
      </c>
      <c r="K16" s="4">
        <f t="shared" si="4"/>
        <v>0.95328884652050583</v>
      </c>
    </row>
    <row r="17" spans="1:11" x14ac:dyDescent="0.45">
      <c r="A17" s="2">
        <v>44743</v>
      </c>
      <c r="B17" s="3">
        <v>16443</v>
      </c>
      <c r="C17" s="3">
        <v>7601</v>
      </c>
      <c r="D17" s="3">
        <v>12135</v>
      </c>
      <c r="E17" s="3">
        <v>8593</v>
      </c>
      <c r="F17" s="3">
        <v>4202</v>
      </c>
      <c r="G17" s="4">
        <f t="shared" si="0"/>
        <v>-0.86217291691788045</v>
      </c>
      <c r="H17" s="4">
        <f t="shared" si="1"/>
        <v>-14.093580470162747</v>
      </c>
      <c r="I17" s="4">
        <f t="shared" si="2"/>
        <v>-0.37763730399803519</v>
      </c>
      <c r="J17" s="4">
        <f t="shared" si="3"/>
        <v>-1.5128939828080279</v>
      </c>
      <c r="K17" s="4">
        <f t="shared" si="4"/>
        <v>-0.80264400377715317</v>
      </c>
    </row>
    <row r="18" spans="1:11" x14ac:dyDescent="0.45">
      <c r="A18" s="2">
        <v>44774</v>
      </c>
      <c r="B18" s="3">
        <v>16514</v>
      </c>
      <c r="C18" s="3">
        <v>7398</v>
      </c>
      <c r="D18" s="3">
        <v>12524</v>
      </c>
      <c r="E18" s="3">
        <v>8532</v>
      </c>
      <c r="F18" s="3">
        <v>4230</v>
      </c>
      <c r="G18" s="4">
        <f t="shared" si="0"/>
        <v>0.43179468466825188</v>
      </c>
      <c r="H18" s="4">
        <f t="shared" si="1"/>
        <v>-2.6707012235232197</v>
      </c>
      <c r="I18" s="4">
        <f t="shared" si="2"/>
        <v>3.2056036258755638</v>
      </c>
      <c r="J18" s="4">
        <f t="shared" si="3"/>
        <v>-0.70988013499360125</v>
      </c>
      <c r="K18" s="4">
        <f t="shared" si="4"/>
        <v>0.66634935744882551</v>
      </c>
    </row>
    <row r="19" spans="1:11" x14ac:dyDescent="0.45">
      <c r="A19" s="2">
        <v>44805</v>
      </c>
      <c r="B19" s="3">
        <v>16684</v>
      </c>
      <c r="C19" s="3">
        <v>7024</v>
      </c>
      <c r="D19" s="3">
        <v>12289</v>
      </c>
      <c r="E19" s="3">
        <v>8560</v>
      </c>
      <c r="F19" s="3">
        <v>4138</v>
      </c>
      <c r="G19" s="4">
        <f t="shared" si="0"/>
        <v>1.0294295749061488</v>
      </c>
      <c r="H19" s="4">
        <f t="shared" si="1"/>
        <v>-5.0554203838875322</v>
      </c>
      <c r="I19" s="4">
        <f t="shared" si="2"/>
        <v>-1.8763973171510684</v>
      </c>
      <c r="J19" s="4">
        <f t="shared" si="3"/>
        <v>0.32817627754335721</v>
      </c>
      <c r="K19" s="4">
        <f t="shared" si="4"/>
        <v>-2.1749408983451568</v>
      </c>
    </row>
    <row r="20" spans="1:11" x14ac:dyDescent="0.45">
      <c r="A20" s="2">
        <v>44835</v>
      </c>
      <c r="B20" s="3">
        <v>16687</v>
      </c>
      <c r="C20" s="3">
        <v>7605</v>
      </c>
      <c r="D20" s="3">
        <v>12539</v>
      </c>
      <c r="E20" s="3">
        <v>8534</v>
      </c>
      <c r="F20" s="3">
        <v>4137</v>
      </c>
      <c r="G20" s="4">
        <f t="shared" si="0"/>
        <v>1.798129944856619E-2</v>
      </c>
      <c r="H20" s="4">
        <f t="shared" si="1"/>
        <v>8.2716400911161827</v>
      </c>
      <c r="I20" s="4">
        <f t="shared" si="2"/>
        <v>2.0343396533485159</v>
      </c>
      <c r="J20" s="4">
        <f t="shared" si="3"/>
        <v>-0.30373831775700744</v>
      </c>
      <c r="K20" s="4">
        <f t="shared" si="4"/>
        <v>-2.4166263895597506E-2</v>
      </c>
    </row>
    <row r="21" spans="1:11" x14ac:dyDescent="0.45">
      <c r="A21" s="2">
        <v>44866</v>
      </c>
      <c r="B21" s="3">
        <v>16730</v>
      </c>
      <c r="C21" s="3">
        <v>7522</v>
      </c>
      <c r="D21" s="3">
        <v>12474</v>
      </c>
      <c r="E21" s="3">
        <v>8582</v>
      </c>
      <c r="F21" s="3">
        <v>4013</v>
      </c>
      <c r="G21" s="4">
        <f t="shared" si="0"/>
        <v>0.25768562353927216</v>
      </c>
      <c r="H21" s="4">
        <f t="shared" si="1"/>
        <v>-1.0913872452333995</v>
      </c>
      <c r="I21" s="4">
        <f t="shared" si="2"/>
        <v>-0.51838264614403329</v>
      </c>
      <c r="J21" s="4">
        <f t="shared" si="3"/>
        <v>0.56245605812046406</v>
      </c>
      <c r="K21" s="4">
        <f t="shared" si="4"/>
        <v>-2.9973410684070556</v>
      </c>
    </row>
    <row r="22" spans="1:11" x14ac:dyDescent="0.45">
      <c r="A22" s="2">
        <v>44896</v>
      </c>
      <c r="B22" s="3">
        <v>16826</v>
      </c>
      <c r="C22" s="3">
        <v>6860</v>
      </c>
      <c r="D22" s="3">
        <v>12299</v>
      </c>
      <c r="E22" s="3">
        <v>8570</v>
      </c>
      <c r="F22" s="3">
        <v>3914</v>
      </c>
      <c r="G22" s="4">
        <f t="shared" si="0"/>
        <v>0.57381948595338628</v>
      </c>
      <c r="H22" s="4">
        <f t="shared" si="1"/>
        <v>-8.8008508375432051</v>
      </c>
      <c r="I22" s="4">
        <f t="shared" si="2"/>
        <v>-1.4029180695847354</v>
      </c>
      <c r="J22" s="4">
        <f t="shared" si="3"/>
        <v>-0.13982754602657188</v>
      </c>
      <c r="K22" s="4">
        <f t="shared" si="4"/>
        <v>-2.4669823075006203</v>
      </c>
    </row>
    <row r="23" spans="1:11" x14ac:dyDescent="0.45">
      <c r="A23" s="2">
        <v>44927</v>
      </c>
      <c r="B23" s="3">
        <v>18096</v>
      </c>
      <c r="C23" s="3">
        <v>6891</v>
      </c>
      <c r="D23" s="3">
        <v>12539</v>
      </c>
      <c r="E23" s="3">
        <v>8495</v>
      </c>
      <c r="F23" s="3">
        <v>4057</v>
      </c>
      <c r="G23" s="4">
        <f t="shared" si="0"/>
        <v>7.547842624509693</v>
      </c>
      <c r="H23" s="4">
        <f t="shared" si="1"/>
        <v>0.45189504373177591</v>
      </c>
      <c r="I23" s="4">
        <f t="shared" si="2"/>
        <v>1.9513781608260894</v>
      </c>
      <c r="J23" s="4">
        <f t="shared" si="3"/>
        <v>-0.87514585764294495</v>
      </c>
      <c r="K23" s="4">
        <f t="shared" si="4"/>
        <v>3.653551354113449</v>
      </c>
    </row>
    <row r="24" spans="1:11" x14ac:dyDescent="0.45">
      <c r="A24" s="2">
        <v>44958</v>
      </c>
      <c r="B24" s="3">
        <v>17711</v>
      </c>
      <c r="C24" s="3">
        <v>6657</v>
      </c>
      <c r="D24" s="3">
        <v>12558</v>
      </c>
      <c r="E24" s="3">
        <v>8214</v>
      </c>
      <c r="F24" s="3">
        <v>3894</v>
      </c>
      <c r="G24" s="4">
        <f t="shared" si="0"/>
        <v>-2.1275419982316524</v>
      </c>
      <c r="H24" s="4">
        <f t="shared" si="1"/>
        <v>-3.3957335655202425</v>
      </c>
      <c r="I24" s="4">
        <f t="shared" si="2"/>
        <v>0.15152723502671606</v>
      </c>
      <c r="J24" s="4">
        <f t="shared" si="3"/>
        <v>-3.3078281341965887</v>
      </c>
      <c r="K24" s="4">
        <f t="shared" si="4"/>
        <v>-4.0177471037712635</v>
      </c>
    </row>
    <row r="25" spans="1:11" x14ac:dyDescent="0.45">
      <c r="A25" s="2">
        <v>44986</v>
      </c>
      <c r="B25" s="3">
        <v>17116</v>
      </c>
      <c r="C25" s="3">
        <v>6559</v>
      </c>
      <c r="D25" s="3">
        <v>12694</v>
      </c>
      <c r="E25" s="3">
        <v>8475</v>
      </c>
      <c r="F25" s="3">
        <v>3825</v>
      </c>
      <c r="G25" s="4">
        <f t="shared" si="0"/>
        <v>-3.3594940997120459</v>
      </c>
      <c r="H25" s="4">
        <f t="shared" si="1"/>
        <v>-1.4721345951629883</v>
      </c>
      <c r="I25" s="4">
        <f t="shared" si="2"/>
        <v>1.082974996018482</v>
      </c>
      <c r="J25" s="4">
        <f t="shared" si="3"/>
        <v>3.1775018261504639</v>
      </c>
      <c r="K25" s="4">
        <f t="shared" si="4"/>
        <v>-1.7719568567026167</v>
      </c>
    </row>
    <row r="26" spans="1:11" x14ac:dyDescent="0.45">
      <c r="A26" s="2">
        <v>45017</v>
      </c>
      <c r="B26" s="3">
        <v>17314</v>
      </c>
      <c r="C26" s="3">
        <v>6460</v>
      </c>
      <c r="D26" s="3">
        <v>12763</v>
      </c>
      <c r="E26" s="3">
        <v>8808</v>
      </c>
      <c r="F26" s="3">
        <v>3855</v>
      </c>
      <c r="G26" s="4">
        <f t="shared" si="0"/>
        <v>1.1568123393316254</v>
      </c>
      <c r="H26" s="4">
        <f t="shared" si="1"/>
        <v>-1.5093764293337419</v>
      </c>
      <c r="I26" s="4">
        <f t="shared" si="2"/>
        <v>0.54356388845122616</v>
      </c>
      <c r="J26" s="4">
        <f t="shared" si="3"/>
        <v>3.9292035398230007</v>
      </c>
      <c r="K26" s="4">
        <f t="shared" si="4"/>
        <v>0.78431372549019329</v>
      </c>
    </row>
    <row r="27" spans="1:11" x14ac:dyDescent="0.45">
      <c r="A27" s="2">
        <v>45047</v>
      </c>
      <c r="B27" s="3">
        <v>17465</v>
      </c>
      <c r="C27" s="3">
        <v>6371</v>
      </c>
      <c r="D27" s="3">
        <v>12992</v>
      </c>
      <c r="E27" s="3">
        <v>8762</v>
      </c>
      <c r="F27" s="3">
        <v>3869</v>
      </c>
      <c r="G27" s="4">
        <f t="shared" si="0"/>
        <v>0.8721266027492236</v>
      </c>
      <c r="H27" s="4">
        <f t="shared" si="1"/>
        <v>-1.3777089783281737</v>
      </c>
      <c r="I27" s="4">
        <f t="shared" si="2"/>
        <v>1.7942490010185663</v>
      </c>
      <c r="J27" s="4">
        <f t="shared" si="3"/>
        <v>-0.52225249772933635</v>
      </c>
      <c r="K27" s="4">
        <f t="shared" si="4"/>
        <v>0.36316472114137355</v>
      </c>
    </row>
    <row r="28" spans="1:11" x14ac:dyDescent="0.45">
      <c r="A28" s="2">
        <v>45078</v>
      </c>
      <c r="B28" s="3">
        <v>18049</v>
      </c>
      <c r="C28" s="3">
        <v>6428</v>
      </c>
      <c r="D28" s="3">
        <v>12765</v>
      </c>
      <c r="E28" s="3">
        <v>8631</v>
      </c>
      <c r="F28" s="3">
        <v>3842</v>
      </c>
      <c r="G28" s="4">
        <f t="shared" si="0"/>
        <v>3.3438305181792138</v>
      </c>
      <c r="H28" s="4">
        <f t="shared" si="1"/>
        <v>0.89467901428346153</v>
      </c>
      <c r="I28" s="4">
        <f t="shared" si="2"/>
        <v>-1.7472290640394128</v>
      </c>
      <c r="J28" s="4">
        <f t="shared" si="3"/>
        <v>-1.495092444647339</v>
      </c>
      <c r="K28" s="4">
        <f t="shared" si="4"/>
        <v>-0.69785474282760829</v>
      </c>
    </row>
    <row r="29" spans="1:11" x14ac:dyDescent="0.45">
      <c r="A29" s="2">
        <v>45108</v>
      </c>
      <c r="B29" s="3">
        <v>17645</v>
      </c>
      <c r="C29" s="3">
        <v>6358</v>
      </c>
      <c r="D29" s="3">
        <v>12910</v>
      </c>
      <c r="E29" s="3">
        <v>8732</v>
      </c>
      <c r="F29" s="3">
        <v>3874</v>
      </c>
      <c r="G29" s="4">
        <f t="shared" si="0"/>
        <v>-2.2383511551886559</v>
      </c>
      <c r="H29" s="4">
        <f t="shared" si="1"/>
        <v>-1.0889856876166726</v>
      </c>
      <c r="I29" s="4">
        <f t="shared" si="2"/>
        <v>1.1359185272228789</v>
      </c>
      <c r="J29" s="4">
        <f t="shared" si="3"/>
        <v>1.1702004402734278</v>
      </c>
      <c r="K29" s="4">
        <f t="shared" si="4"/>
        <v>0.83289953149401352</v>
      </c>
    </row>
    <row r="30" spans="1:11" x14ac:dyDescent="0.45">
      <c r="A30" s="2">
        <v>45139</v>
      </c>
      <c r="B30" s="3">
        <v>17340</v>
      </c>
      <c r="C30" s="3">
        <v>6663</v>
      </c>
      <c r="D30" s="3">
        <v>12823</v>
      </c>
      <c r="E30" s="3">
        <v>8769</v>
      </c>
      <c r="F30" s="3">
        <v>3913</v>
      </c>
      <c r="G30" s="4">
        <f t="shared" si="0"/>
        <v>-1.7285349957495089</v>
      </c>
      <c r="H30" s="4">
        <f t="shared" si="1"/>
        <v>4.7971060081786643</v>
      </c>
      <c r="I30" s="4">
        <f t="shared" si="2"/>
        <v>-0.67389620449264109</v>
      </c>
      <c r="J30" s="4">
        <f t="shared" si="3"/>
        <v>0.4237288135593209</v>
      </c>
      <c r="K30" s="4">
        <f t="shared" si="4"/>
        <v>1.0067114093959662</v>
      </c>
    </row>
    <row r="31" spans="1:11" x14ac:dyDescent="0.45">
      <c r="A31" s="2">
        <v>45170</v>
      </c>
      <c r="B31" s="3">
        <v>18141</v>
      </c>
      <c r="C31" s="3">
        <v>6835</v>
      </c>
      <c r="D31" s="3">
        <v>12728</v>
      </c>
      <c r="E31" s="3">
        <v>8812</v>
      </c>
      <c r="F31" s="3">
        <v>3916</v>
      </c>
      <c r="G31" s="4">
        <f t="shared" si="0"/>
        <v>4.6193771626297675</v>
      </c>
      <c r="H31" s="4">
        <f t="shared" si="1"/>
        <v>2.5814197808794903</v>
      </c>
      <c r="I31" s="4">
        <f t="shared" si="2"/>
        <v>-0.74085627388286168</v>
      </c>
      <c r="J31" s="4">
        <f t="shared" si="3"/>
        <v>0.49036378150302262</v>
      </c>
      <c r="K31" s="4">
        <f t="shared" si="4"/>
        <v>7.6667518527973044E-2</v>
      </c>
    </row>
    <row r="32" spans="1:11" x14ac:dyDescent="0.45">
      <c r="A32" s="2">
        <v>45200</v>
      </c>
      <c r="B32" s="3">
        <v>18024</v>
      </c>
      <c r="C32" s="3">
        <v>6604</v>
      </c>
      <c r="D32" s="3">
        <v>12780</v>
      </c>
      <c r="E32" s="3">
        <v>8946</v>
      </c>
      <c r="F32" s="3">
        <v>3855</v>
      </c>
      <c r="G32" s="4">
        <f t="shared" si="0"/>
        <v>-0.6449479080535836</v>
      </c>
      <c r="H32" s="4">
        <f t="shared" si="1"/>
        <v>-3.3796634967081185</v>
      </c>
      <c r="I32" s="4">
        <f t="shared" si="2"/>
        <v>0.40854808296668654</v>
      </c>
      <c r="J32" s="4">
        <f t="shared" si="3"/>
        <v>1.5206536541080284</v>
      </c>
      <c r="K32" s="4">
        <f t="shared" si="4"/>
        <v>-1.5577119509703752</v>
      </c>
    </row>
    <row r="33" spans="1:11" x14ac:dyDescent="0.45">
      <c r="A33" s="2">
        <v>45231</v>
      </c>
      <c r="B33" s="3">
        <v>17996</v>
      </c>
      <c r="C33" s="3">
        <v>6595</v>
      </c>
      <c r="D33" s="3">
        <v>12582</v>
      </c>
      <c r="E33" s="3">
        <v>8804</v>
      </c>
      <c r="F33" s="3">
        <v>3850</v>
      </c>
      <c r="G33" s="4">
        <f t="shared" si="0"/>
        <v>-0.15534842432312068</v>
      </c>
      <c r="H33" s="4">
        <f t="shared" si="1"/>
        <v>-0.13628104179285172</v>
      </c>
      <c r="I33" s="4">
        <f t="shared" si="2"/>
        <v>-1.5492957746478853</v>
      </c>
      <c r="J33" s="4">
        <f t="shared" si="3"/>
        <v>-1.5873015873015928</v>
      </c>
      <c r="K33" s="4">
        <f t="shared" si="4"/>
        <v>-0.12970168612191912</v>
      </c>
    </row>
    <row r="34" spans="1:11" x14ac:dyDescent="0.45">
      <c r="A34" s="2">
        <v>45261</v>
      </c>
      <c r="B34" s="3">
        <v>18167</v>
      </c>
      <c r="C34" s="3">
        <v>6433</v>
      </c>
      <c r="D34" s="3">
        <v>12794</v>
      </c>
      <c r="E34" s="3">
        <v>8857</v>
      </c>
      <c r="F34" s="3">
        <v>3834</v>
      </c>
      <c r="G34" s="4">
        <f t="shared" si="0"/>
        <v>0.95021115803510803</v>
      </c>
      <c r="H34" s="4">
        <f t="shared" si="1"/>
        <v>-2.4564063684609505</v>
      </c>
      <c r="I34" s="4">
        <f t="shared" si="2"/>
        <v>1.684946749324423</v>
      </c>
      <c r="J34" s="4">
        <f t="shared" si="3"/>
        <v>0.60199909132212515</v>
      </c>
      <c r="K34" s="4">
        <f t="shared" si="4"/>
        <v>-0.4155844155844135</v>
      </c>
    </row>
    <row r="35" spans="1:11" x14ac:dyDescent="0.45">
      <c r="A35" s="2">
        <v>45292</v>
      </c>
      <c r="B35" s="3">
        <v>17868</v>
      </c>
      <c r="C35" s="3">
        <v>6428</v>
      </c>
      <c r="D35" s="3">
        <v>12818</v>
      </c>
      <c r="E35" s="3">
        <v>9725</v>
      </c>
      <c r="F35" s="3">
        <v>3894</v>
      </c>
      <c r="G35" s="4">
        <f t="shared" ref="G35:G60" si="5">IFERROR((B35/B34-1)*100,"")</f>
        <v>-1.6458413607089772</v>
      </c>
      <c r="H35" s="4">
        <f t="shared" ref="H35:H60" si="6">IFERROR((C35/C34-1)*100,"")</f>
        <v>-7.7724234416287619E-2</v>
      </c>
      <c r="I35" s="4">
        <f t="shared" ref="I35:I60" si="7">IFERROR((D35/D34-1)*100,"")</f>
        <v>0.18758793184305844</v>
      </c>
      <c r="J35" s="4">
        <f t="shared" ref="J35:J60" si="8">IFERROR((E35/E34-1)*100,"")</f>
        <v>9.8001580670656008</v>
      </c>
      <c r="K35" s="4">
        <f t="shared" ref="K35:K60" si="9">IFERROR((F35/F34-1)*100,"")</f>
        <v>1.5649452269170583</v>
      </c>
    </row>
    <row r="36" spans="1:11" x14ac:dyDescent="0.45">
      <c r="A36" s="2">
        <v>45323</v>
      </c>
      <c r="B36" s="3">
        <v>18147</v>
      </c>
      <c r="C36" s="3">
        <v>6350</v>
      </c>
      <c r="D36" s="3">
        <v>12709</v>
      </c>
      <c r="E36" s="3">
        <v>9635</v>
      </c>
      <c r="F36" s="3">
        <v>3925</v>
      </c>
      <c r="G36" s="4">
        <f t="shared" si="5"/>
        <v>1.5614506380120963</v>
      </c>
      <c r="H36" s="4">
        <f t="shared" si="6"/>
        <v>-1.2134411947728685</v>
      </c>
      <c r="I36" s="4">
        <f t="shared" si="7"/>
        <v>-0.85036667186768611</v>
      </c>
      <c r="J36" s="4">
        <f t="shared" si="8"/>
        <v>-0.92544987146530033</v>
      </c>
      <c r="K36" s="4">
        <f t="shared" si="9"/>
        <v>0.79609655880841235</v>
      </c>
    </row>
    <row r="37" spans="1:11" x14ac:dyDescent="0.45">
      <c r="A37" s="2">
        <v>45352</v>
      </c>
      <c r="B37" s="3">
        <v>17876</v>
      </c>
      <c r="C37" s="3">
        <v>6392</v>
      </c>
      <c r="D37" s="3">
        <v>12659</v>
      </c>
      <c r="E37" s="3">
        <v>9789</v>
      </c>
      <c r="F37" s="3">
        <v>3940</v>
      </c>
      <c r="G37" s="4">
        <f t="shared" si="5"/>
        <v>-1.4933597839863366</v>
      </c>
      <c r="H37" s="4">
        <f t="shared" si="6"/>
        <v>0.66141732283464538</v>
      </c>
      <c r="I37" s="4">
        <f t="shared" si="7"/>
        <v>-0.39342198442049447</v>
      </c>
      <c r="J37" s="4">
        <f t="shared" si="8"/>
        <v>1.5983393876491947</v>
      </c>
      <c r="K37" s="4">
        <f t="shared" si="9"/>
        <v>0.38216560509554132</v>
      </c>
    </row>
    <row r="38" spans="1:11" x14ac:dyDescent="0.45">
      <c r="A38" s="2">
        <v>45383</v>
      </c>
      <c r="B38" s="3">
        <v>17508</v>
      </c>
      <c r="C38" s="3">
        <v>6641</v>
      </c>
      <c r="D38" s="3">
        <v>12821</v>
      </c>
      <c r="E38" s="3">
        <v>9819</v>
      </c>
      <c r="F38" s="3">
        <v>3919</v>
      </c>
      <c r="G38" s="4">
        <f t="shared" si="5"/>
        <v>-2.0586260908480591</v>
      </c>
      <c r="H38" s="4">
        <f t="shared" si="6"/>
        <v>3.8954943679599507</v>
      </c>
      <c r="I38" s="4">
        <f t="shared" si="7"/>
        <v>1.2797219369618418</v>
      </c>
      <c r="J38" s="4">
        <f t="shared" si="8"/>
        <v>0.30646644192460215</v>
      </c>
      <c r="K38" s="4">
        <f t="shared" si="9"/>
        <v>-0.53299492385786573</v>
      </c>
    </row>
    <row r="39" spans="1:11" x14ac:dyDescent="0.45">
      <c r="A39" s="2">
        <v>45413</v>
      </c>
      <c r="B39" s="3">
        <v>17691</v>
      </c>
      <c r="C39" s="3">
        <v>6641</v>
      </c>
      <c r="D39" s="3">
        <v>12666</v>
      </c>
      <c r="E39" s="3">
        <v>9723</v>
      </c>
      <c r="F39" s="3">
        <v>3823</v>
      </c>
      <c r="G39" s="4">
        <f t="shared" si="5"/>
        <v>1.0452364633310562</v>
      </c>
      <c r="H39" s="4">
        <f t="shared" si="6"/>
        <v>0</v>
      </c>
      <c r="I39" s="4">
        <f t="shared" si="7"/>
        <v>-1.208954059745726</v>
      </c>
      <c r="J39" s="4">
        <f t="shared" si="8"/>
        <v>-0.97769630308585098</v>
      </c>
      <c r="K39" s="4">
        <f t="shared" si="9"/>
        <v>-2.4496044909415704</v>
      </c>
    </row>
    <row r="40" spans="1:11" x14ac:dyDescent="0.45">
      <c r="A40" s="2">
        <v>45444</v>
      </c>
      <c r="B40" s="3">
        <v>17459</v>
      </c>
      <c r="C40" s="3">
        <v>6492</v>
      </c>
      <c r="D40" s="3">
        <v>12764</v>
      </c>
      <c r="E40" s="3">
        <v>9694</v>
      </c>
      <c r="F40" s="3">
        <v>3798</v>
      </c>
      <c r="G40" s="4">
        <f t="shared" si="5"/>
        <v>-1.3114012774857242</v>
      </c>
      <c r="H40" s="4">
        <f t="shared" si="6"/>
        <v>-2.2436380063243444</v>
      </c>
      <c r="I40" s="4">
        <f t="shared" si="7"/>
        <v>0.77372493289120658</v>
      </c>
      <c r="J40" s="4">
        <f t="shared" si="8"/>
        <v>-0.29826185333744482</v>
      </c>
      <c r="K40" s="4">
        <f t="shared" si="9"/>
        <v>-0.65393669892754858</v>
      </c>
    </row>
    <row r="41" spans="1:11" x14ac:dyDescent="0.45">
      <c r="A41" s="2">
        <v>45474</v>
      </c>
      <c r="B41" s="3">
        <v>18132</v>
      </c>
      <c r="C41" s="3">
        <v>6487</v>
      </c>
      <c r="D41" s="3">
        <v>12947</v>
      </c>
      <c r="E41" s="3">
        <v>9895</v>
      </c>
      <c r="F41" s="3">
        <v>3797</v>
      </c>
      <c r="G41" s="4">
        <f t="shared" si="5"/>
        <v>3.8547454035168016</v>
      </c>
      <c r="H41" s="4">
        <f t="shared" si="6"/>
        <v>-7.701786814541256E-2</v>
      </c>
      <c r="I41" s="4">
        <f t="shared" si="7"/>
        <v>1.4337198370416804</v>
      </c>
      <c r="J41" s="4">
        <f t="shared" si="8"/>
        <v>2.073447493294811</v>
      </c>
      <c r="K41" s="4">
        <f t="shared" si="9"/>
        <v>-2.6329647182732341E-2</v>
      </c>
    </row>
    <row r="42" spans="1:11" x14ac:dyDescent="0.45">
      <c r="A42" s="2">
        <v>45505</v>
      </c>
      <c r="B42" s="3">
        <v>18417</v>
      </c>
      <c r="C42" s="3">
        <v>6320</v>
      </c>
      <c r="D42" s="3">
        <v>12793</v>
      </c>
      <c r="E42" s="3">
        <v>9796</v>
      </c>
      <c r="F42" s="3">
        <v>3770</v>
      </c>
      <c r="G42" s="4">
        <f t="shared" si="5"/>
        <v>1.5718067504963518</v>
      </c>
      <c r="H42" s="4">
        <f t="shared" si="6"/>
        <v>-2.5743795282873405</v>
      </c>
      <c r="I42" s="4">
        <f t="shared" si="7"/>
        <v>-1.1894647408666081</v>
      </c>
      <c r="J42" s="4">
        <f t="shared" si="8"/>
        <v>-1.0005053057099533</v>
      </c>
      <c r="K42" s="4">
        <f t="shared" si="9"/>
        <v>-0.71108770081643735</v>
      </c>
    </row>
    <row r="43" spans="1:11" x14ac:dyDescent="0.45">
      <c r="A43" s="2">
        <v>45536</v>
      </c>
      <c r="B43" s="3">
        <v>18621</v>
      </c>
      <c r="C43" s="3">
        <v>6071</v>
      </c>
      <c r="D43" s="3">
        <v>13084</v>
      </c>
      <c r="E43" s="3">
        <v>9913</v>
      </c>
      <c r="F43" s="3">
        <v>3945</v>
      </c>
      <c r="G43" s="4">
        <f t="shared" si="5"/>
        <v>1.1076722593256205</v>
      </c>
      <c r="H43" s="4">
        <f t="shared" si="6"/>
        <v>-3.9398734177215178</v>
      </c>
      <c r="I43" s="4">
        <f t="shared" si="7"/>
        <v>2.2746814664269532</v>
      </c>
      <c r="J43" s="4">
        <f t="shared" si="8"/>
        <v>1.1943650469579348</v>
      </c>
      <c r="K43" s="4">
        <f t="shared" si="9"/>
        <v>4.6419098143235971</v>
      </c>
    </row>
    <row r="44" spans="1:11" x14ac:dyDescent="0.45">
      <c r="A44" s="2">
        <v>45566</v>
      </c>
      <c r="B44" s="3">
        <v>19107</v>
      </c>
      <c r="C44" s="3">
        <v>6190</v>
      </c>
      <c r="D44" s="3">
        <v>13050</v>
      </c>
      <c r="E44" s="3">
        <v>9990</v>
      </c>
      <c r="F44" s="3">
        <v>3853</v>
      </c>
      <c r="G44" s="4">
        <f t="shared" si="5"/>
        <v>2.609956500724997</v>
      </c>
      <c r="H44" s="4">
        <f t="shared" si="6"/>
        <v>1.9601383627079638</v>
      </c>
      <c r="I44" s="4">
        <f t="shared" si="7"/>
        <v>-0.25985937022316996</v>
      </c>
      <c r="J44" s="4">
        <f t="shared" si="8"/>
        <v>0.77675779279733348</v>
      </c>
      <c r="K44" s="4">
        <f t="shared" si="9"/>
        <v>-2.3320659062103899</v>
      </c>
    </row>
    <row r="45" spans="1:11" x14ac:dyDescent="0.45">
      <c r="A45" s="2">
        <v>45597</v>
      </c>
      <c r="B45" s="3">
        <v>19732</v>
      </c>
      <c r="C45" s="3">
        <v>6222</v>
      </c>
      <c r="D45" s="3">
        <v>12741</v>
      </c>
      <c r="E45" s="3">
        <v>9885</v>
      </c>
      <c r="F45" s="3">
        <v>3748</v>
      </c>
      <c r="G45" s="4">
        <f t="shared" si="5"/>
        <v>3.2710524938504237</v>
      </c>
      <c r="H45" s="4">
        <f t="shared" si="6"/>
        <v>0.51696284329563191</v>
      </c>
      <c r="I45" s="4">
        <f t="shared" si="7"/>
        <v>-2.3678160919540225</v>
      </c>
      <c r="J45" s="4">
        <f t="shared" si="8"/>
        <v>-1.0510510510510551</v>
      </c>
      <c r="K45" s="4">
        <f t="shared" si="9"/>
        <v>-2.7251492343628336</v>
      </c>
    </row>
    <row r="46" spans="1:11" x14ac:dyDescent="0.45">
      <c r="A46" s="2">
        <v>45627</v>
      </c>
      <c r="B46" s="3">
        <v>19925</v>
      </c>
      <c r="C46" s="3">
        <v>6370</v>
      </c>
      <c r="D46" s="3">
        <v>13255</v>
      </c>
      <c r="E46" s="3">
        <v>10222</v>
      </c>
      <c r="F46" s="3">
        <v>3907</v>
      </c>
      <c r="G46" s="4">
        <f t="shared" si="5"/>
        <v>0.97810662882626964</v>
      </c>
      <c r="H46" s="4">
        <f t="shared" si="6"/>
        <v>2.3786563805850314</v>
      </c>
      <c r="I46" s="4">
        <f t="shared" si="7"/>
        <v>4.0342202338905953</v>
      </c>
      <c r="J46" s="4">
        <f t="shared" si="8"/>
        <v>3.4092058674759729</v>
      </c>
      <c r="K46" s="4">
        <f t="shared" si="9"/>
        <v>4.2422625400213354</v>
      </c>
    </row>
    <row r="47" spans="1:11" x14ac:dyDescent="0.45">
      <c r="A47" s="2">
        <v>45658</v>
      </c>
      <c r="B47" s="3">
        <v>19501</v>
      </c>
      <c r="C47" s="3">
        <v>6707</v>
      </c>
      <c r="D47" s="3">
        <v>13041</v>
      </c>
      <c r="E47" s="3">
        <v>10212</v>
      </c>
      <c r="F47" s="3">
        <v>3894</v>
      </c>
      <c r="G47" s="4">
        <f t="shared" si="5"/>
        <v>-2.1279799247176934</v>
      </c>
      <c r="H47" s="4">
        <f t="shared" si="6"/>
        <v>5.2904238618524335</v>
      </c>
      <c r="I47" s="4">
        <f t="shared" si="7"/>
        <v>-1.6144850999622817</v>
      </c>
      <c r="J47" s="4">
        <f t="shared" si="8"/>
        <v>-9.7828213656814267E-2</v>
      </c>
      <c r="K47" s="4">
        <f t="shared" si="9"/>
        <v>-0.33273611466598796</v>
      </c>
    </row>
    <row r="48" spans="1:11" x14ac:dyDescent="0.45">
      <c r="A48" s="2">
        <v>45689</v>
      </c>
      <c r="B48" s="3">
        <v>18216</v>
      </c>
      <c r="C48" s="3">
        <v>6706</v>
      </c>
      <c r="D48" s="3">
        <v>13265</v>
      </c>
      <c r="E48" s="3">
        <v>10252</v>
      </c>
      <c r="F48" s="3">
        <v>3825</v>
      </c>
      <c r="G48" s="4">
        <f t="shared" si="5"/>
        <v>-6.5894056715040232</v>
      </c>
      <c r="H48" s="4">
        <f t="shared" si="6"/>
        <v>-1.4909795735795761E-2</v>
      </c>
      <c r="I48" s="4">
        <f t="shared" si="7"/>
        <v>1.7176596886741891</v>
      </c>
      <c r="J48" s="4">
        <f t="shared" si="8"/>
        <v>0.39169604386994905</v>
      </c>
      <c r="K48" s="4">
        <f t="shared" si="9"/>
        <v>-1.7719568567026167</v>
      </c>
    </row>
    <row r="49" spans="1:11" x14ac:dyDescent="0.45">
      <c r="A49" s="2">
        <v>45717</v>
      </c>
      <c r="B49" s="3">
        <v>19539</v>
      </c>
      <c r="C49" s="3">
        <v>6213</v>
      </c>
      <c r="D49" s="3">
        <v>13144</v>
      </c>
      <c r="E49" s="3">
        <v>10089</v>
      </c>
      <c r="F49" s="3">
        <v>3941</v>
      </c>
      <c r="G49" s="4">
        <f t="shared" si="5"/>
        <v>7.2628458498023685</v>
      </c>
      <c r="H49" s="4">
        <f t="shared" si="6"/>
        <v>-7.3516254100805201</v>
      </c>
      <c r="I49" s="4">
        <f t="shared" si="7"/>
        <v>-0.91217489634376481</v>
      </c>
      <c r="J49" s="4">
        <f t="shared" si="8"/>
        <v>-1.5899336714787382</v>
      </c>
      <c r="K49" s="4">
        <f t="shared" si="9"/>
        <v>3.0326797385620941</v>
      </c>
    </row>
    <row r="50" spans="1:11" x14ac:dyDescent="0.45">
      <c r="A50" s="2">
        <v>45748</v>
      </c>
      <c r="B50" s="3">
        <v>19832</v>
      </c>
      <c r="C50" s="3">
        <v>6113</v>
      </c>
      <c r="D50" s="3">
        <v>13206</v>
      </c>
      <c r="E50" s="3">
        <v>10098</v>
      </c>
      <c r="F50" s="3">
        <v>3906</v>
      </c>
      <c r="G50" s="4">
        <f t="shared" si="5"/>
        <v>1.499564972618872</v>
      </c>
      <c r="H50" s="4">
        <f t="shared" si="6"/>
        <v>-1.6095284081764083</v>
      </c>
      <c r="I50" s="4">
        <f t="shared" si="7"/>
        <v>0.47169811320755262</v>
      </c>
      <c r="J50" s="4">
        <f t="shared" si="8"/>
        <v>8.92060660124816E-2</v>
      </c>
      <c r="K50" s="4">
        <f t="shared" si="9"/>
        <v>-0.88809946714032417</v>
      </c>
    </row>
    <row r="51" spans="1:11" x14ac:dyDescent="0.45">
      <c r="A51" s="2">
        <v>45778</v>
      </c>
      <c r="B51" s="3">
        <v>19181</v>
      </c>
      <c r="C51" s="3">
        <v>6018</v>
      </c>
      <c r="D51" s="3">
        <v>13047</v>
      </c>
      <c r="E51" s="3">
        <v>10113</v>
      </c>
      <c r="F51" s="3">
        <v>3975</v>
      </c>
      <c r="G51" s="4">
        <f t="shared" si="5"/>
        <v>-3.2825736183945131</v>
      </c>
      <c r="H51" s="4">
        <f t="shared" si="6"/>
        <v>-1.5540651071486944</v>
      </c>
      <c r="I51" s="4">
        <f t="shared" si="7"/>
        <v>-1.2039981826442503</v>
      </c>
      <c r="J51" s="4">
        <f t="shared" si="8"/>
        <v>0.14854426619133054</v>
      </c>
      <c r="K51" s="4">
        <f t="shared" si="9"/>
        <v>1.7665130568356391</v>
      </c>
    </row>
    <row r="52" spans="1:11" x14ac:dyDescent="0.45">
      <c r="A52" s="2">
        <v>45809</v>
      </c>
      <c r="B52" s="3">
        <v>19168</v>
      </c>
      <c r="C52" s="3">
        <v>6150</v>
      </c>
      <c r="D52" s="3">
        <v>13389</v>
      </c>
      <c r="E52" s="3">
        <v>10235</v>
      </c>
      <c r="F52" s="3">
        <v>4070</v>
      </c>
      <c r="G52" s="4">
        <f t="shared" si="5"/>
        <v>-6.7775402742298319E-2</v>
      </c>
      <c r="H52" s="4">
        <f t="shared" si="6"/>
        <v>2.193419740777669</v>
      </c>
      <c r="I52" s="4">
        <f t="shared" si="7"/>
        <v>2.6212922510921999</v>
      </c>
      <c r="J52" s="4">
        <f t="shared" si="8"/>
        <v>1.206368041135164</v>
      </c>
      <c r="K52" s="4">
        <f t="shared" si="9"/>
        <v>2.3899371069182385</v>
      </c>
    </row>
    <row r="53" spans="1:11" x14ac:dyDescent="0.45">
      <c r="A53" s="2">
        <v>45839</v>
      </c>
      <c r="B53" s="3">
        <v>19137</v>
      </c>
      <c r="C53" s="3">
        <v>6109</v>
      </c>
      <c r="D53" s="3">
        <v>13192</v>
      </c>
      <c r="E53" s="3">
        <v>10265</v>
      </c>
      <c r="F53" s="3">
        <v>3988</v>
      </c>
      <c r="G53" s="4">
        <f t="shared" si="5"/>
        <v>-0.16172787979966685</v>
      </c>
      <c r="H53" s="4">
        <f t="shared" si="6"/>
        <v>-0.66666666666667096</v>
      </c>
      <c r="I53" s="4">
        <f t="shared" si="7"/>
        <v>-1.4713570841735746</v>
      </c>
      <c r="J53" s="4">
        <f t="shared" si="8"/>
        <v>0.29311187103078229</v>
      </c>
      <c r="K53" s="4">
        <f t="shared" si="9"/>
        <v>-2.0147420147420103</v>
      </c>
    </row>
    <row r="54" spans="1:11" x14ac:dyDescent="0.45">
      <c r="A54" s="2">
        <v>45870</v>
      </c>
      <c r="B54" s="3">
        <v>19436</v>
      </c>
      <c r="C54" s="3">
        <v>6050</v>
      </c>
      <c r="D54" s="3">
        <v>13266</v>
      </c>
      <c r="E54" s="3">
        <v>10469</v>
      </c>
      <c r="F54" s="3">
        <v>3939</v>
      </c>
      <c r="G54" s="4">
        <f t="shared" si="5"/>
        <v>1.5624183518837764</v>
      </c>
      <c r="H54" s="4">
        <f t="shared" si="6"/>
        <v>-0.96578818137175171</v>
      </c>
      <c r="I54" s="4">
        <f t="shared" si="7"/>
        <v>0.56094602789569237</v>
      </c>
      <c r="J54" s="4">
        <f t="shared" si="8"/>
        <v>1.9873356064296077</v>
      </c>
      <c r="K54" s="4">
        <f t="shared" si="9"/>
        <v>-1.2286860581745218</v>
      </c>
    </row>
    <row r="55" spans="1:11" x14ac:dyDescent="0.45">
      <c r="A55" s="2">
        <v>45901</v>
      </c>
      <c r="B55" s="3">
        <v>18716</v>
      </c>
      <c r="C55" s="3">
        <v>6173</v>
      </c>
      <c r="D55" s="3">
        <v>13269</v>
      </c>
      <c r="E55" s="3">
        <v>10456</v>
      </c>
      <c r="F55" s="3">
        <v>3873</v>
      </c>
      <c r="G55" s="4">
        <f t="shared" si="5"/>
        <v>-3.7044659394937285</v>
      </c>
      <c r="H55" s="4">
        <f t="shared" si="6"/>
        <v>2.0330578512396613</v>
      </c>
      <c r="I55" s="4">
        <f t="shared" si="7"/>
        <v>2.2614201718673677E-2</v>
      </c>
      <c r="J55" s="4">
        <f t="shared" si="8"/>
        <v>-0.12417613907728109</v>
      </c>
      <c r="K55" s="4">
        <f t="shared" si="9"/>
        <v>-1.6755521706016796</v>
      </c>
    </row>
    <row r="56" spans="1:11" x14ac:dyDescent="0.45">
      <c r="A56" s="2">
        <v>45931</v>
      </c>
      <c r="B56" s="3">
        <v>19004</v>
      </c>
      <c r="C56" s="3">
        <v>6051</v>
      </c>
      <c r="D56" s="3">
        <v>13049</v>
      </c>
      <c r="E56" s="3">
        <v>10502</v>
      </c>
      <c r="F56" s="3">
        <v>3914</v>
      </c>
      <c r="G56" s="4">
        <f t="shared" si="5"/>
        <v>1.5387903398162095</v>
      </c>
      <c r="H56" s="4">
        <f t="shared" si="6"/>
        <v>-1.9763486149360077</v>
      </c>
      <c r="I56" s="4">
        <f t="shared" si="7"/>
        <v>-1.6579998492727399</v>
      </c>
      <c r="J56" s="4">
        <f t="shared" si="8"/>
        <v>0.43993879112471657</v>
      </c>
      <c r="K56" s="4">
        <f t="shared" si="9"/>
        <v>1.0586108959462992</v>
      </c>
    </row>
    <row r="57" spans="1:11" x14ac:dyDescent="0.45">
      <c r="A57" s="2">
        <v>45962</v>
      </c>
      <c r="B57" s="3">
        <v>18920</v>
      </c>
      <c r="C57" s="3">
        <v>6199</v>
      </c>
      <c r="D57" s="3">
        <v>13415</v>
      </c>
      <c r="E57" s="3">
        <v>10646</v>
      </c>
      <c r="F57" s="3">
        <v>4015</v>
      </c>
      <c r="G57" s="4">
        <f t="shared" si="5"/>
        <v>-0.44201220795622165</v>
      </c>
      <c r="H57" s="4">
        <f t="shared" si="6"/>
        <v>2.4458767145926208</v>
      </c>
      <c r="I57" s="4">
        <f t="shared" si="7"/>
        <v>2.8048126293202635</v>
      </c>
      <c r="J57" s="4">
        <f t="shared" si="8"/>
        <v>1.3711673966863458</v>
      </c>
      <c r="K57" s="4">
        <f t="shared" si="9"/>
        <v>2.580480327031176</v>
      </c>
    </row>
    <row r="58" spans="1:11" x14ac:dyDescent="0.45">
      <c r="A58" s="2">
        <v>45992</v>
      </c>
      <c r="B58" s="3">
        <v>18729</v>
      </c>
      <c r="C58" s="3">
        <v>6377</v>
      </c>
      <c r="D58" s="3">
        <v>13372</v>
      </c>
      <c r="E58" s="3">
        <v>10535</v>
      </c>
      <c r="F58" s="3">
        <v>3859</v>
      </c>
      <c r="G58" s="4">
        <f t="shared" si="5"/>
        <v>-1.0095137420718769</v>
      </c>
      <c r="H58" s="4">
        <f t="shared" si="6"/>
        <v>2.8714308759477225</v>
      </c>
      <c r="I58" s="4">
        <f t="shared" si="7"/>
        <v>-0.32053671263511108</v>
      </c>
      <c r="J58" s="4">
        <f t="shared" si="8"/>
        <v>-1.0426451249295532</v>
      </c>
      <c r="K58" s="4">
        <f t="shared" si="9"/>
        <v>-3.8854296388542986</v>
      </c>
    </row>
    <row r="59" spans="1:11" x14ac:dyDescent="0.45">
      <c r="A59" s="2">
        <v>46023</v>
      </c>
      <c r="B59" s="3">
        <v>19111</v>
      </c>
      <c r="C59" s="3">
        <v>6397</v>
      </c>
      <c r="D59" s="3">
        <v>13372</v>
      </c>
      <c r="E59" s="3">
        <v>10881</v>
      </c>
      <c r="F59" s="3">
        <v>3907</v>
      </c>
      <c r="G59" s="4">
        <f t="shared" si="5"/>
        <v>2.0396177051631215</v>
      </c>
      <c r="H59" s="4">
        <f t="shared" si="6"/>
        <v>0.31362709738120831</v>
      </c>
      <c r="I59" s="4">
        <f t="shared" si="7"/>
        <v>0</v>
      </c>
      <c r="J59" s="4">
        <f t="shared" si="8"/>
        <v>3.2842904603701983</v>
      </c>
      <c r="K59" s="4">
        <f t="shared" si="9"/>
        <v>1.2438455558434924</v>
      </c>
    </row>
    <row r="60" spans="1:11" x14ac:dyDescent="0.45">
      <c r="A60" s="2">
        <v>46054</v>
      </c>
      <c r="B60" s="3">
        <v>19298</v>
      </c>
      <c r="C60" s="3">
        <v>6399</v>
      </c>
      <c r="D60" s="3">
        <v>13494</v>
      </c>
      <c r="E60" s="3">
        <v>11006</v>
      </c>
      <c r="F60" s="3">
        <v>3886</v>
      </c>
      <c r="G60" s="4">
        <f t="shared" si="5"/>
        <v>0.97849406101198078</v>
      </c>
      <c r="H60" s="4">
        <f t="shared" si="6"/>
        <v>3.1264655307183808E-2</v>
      </c>
      <c r="I60" s="4">
        <f t="shared" si="7"/>
        <v>0.91235417289858844</v>
      </c>
      <c r="J60" s="4">
        <f t="shared" si="8"/>
        <v>1.1487914713721237</v>
      </c>
      <c r="K60" s="4">
        <f t="shared" si="9"/>
        <v>-0.53749680061427885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pane ySplit="1" topLeftCell="A2" activePane="bottomLeft" state="frozen"/>
      <selection pane="bottomLeft" activeCell="C3" sqref="C3"/>
    </sheetView>
  </sheetViews>
  <sheetFormatPr defaultRowHeight="14.25" x14ac:dyDescent="0.45"/>
  <cols>
    <col min="1" max="1" width="16" customWidth="1"/>
    <col min="2" max="2" width="32" customWidth="1"/>
    <col min="3" max="3" width="14" customWidth="1"/>
    <col min="4" max="4" width="60" customWidth="1"/>
  </cols>
  <sheetData>
    <row r="1" spans="1:4" ht="22.05" customHeight="1" x14ac:dyDescent="0.45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45">
      <c r="A2" t="s">
        <v>35</v>
      </c>
      <c r="B2" t="s">
        <v>36</v>
      </c>
      <c r="C2" t="s">
        <v>37</v>
      </c>
      <c r="D2" t="s">
        <v>38</v>
      </c>
    </row>
    <row r="3" spans="1:4" x14ac:dyDescent="0.45">
      <c r="A3" t="s">
        <v>39</v>
      </c>
      <c r="B3" t="s">
        <v>40</v>
      </c>
      <c r="C3" t="s">
        <v>37</v>
      </c>
      <c r="D3" t="s">
        <v>41</v>
      </c>
    </row>
    <row r="4" spans="1:4" x14ac:dyDescent="0.45">
      <c r="A4" t="s">
        <v>42</v>
      </c>
      <c r="B4" t="s">
        <v>43</v>
      </c>
      <c r="C4" t="s">
        <v>44</v>
      </c>
      <c r="D4" t="s">
        <v>45</v>
      </c>
    </row>
    <row r="5" spans="1:4" x14ac:dyDescent="0.45">
      <c r="A5" t="s">
        <v>46</v>
      </c>
      <c r="B5" t="s">
        <v>43</v>
      </c>
      <c r="C5" t="s">
        <v>44</v>
      </c>
      <c r="D5" t="s">
        <v>47</v>
      </c>
    </row>
    <row r="6" spans="1:4" x14ac:dyDescent="0.45">
      <c r="A6" t="s">
        <v>48</v>
      </c>
      <c r="B6" t="s">
        <v>49</v>
      </c>
      <c r="C6" t="s">
        <v>50</v>
      </c>
      <c r="D6" t="s">
        <v>51</v>
      </c>
    </row>
    <row r="7" spans="1:4" x14ac:dyDescent="0.45">
      <c r="A7" t="s">
        <v>52</v>
      </c>
      <c r="B7" t="s">
        <v>53</v>
      </c>
      <c r="C7" t="s">
        <v>37</v>
      </c>
      <c r="D7" t="s">
        <v>54</v>
      </c>
    </row>
    <row r="8" spans="1:4" x14ac:dyDescent="0.45">
      <c r="A8" t="s">
        <v>55</v>
      </c>
      <c r="B8" t="s">
        <v>56</v>
      </c>
      <c r="C8" t="s">
        <v>37</v>
      </c>
      <c r="D8" t="s">
        <v>57</v>
      </c>
    </row>
    <row r="9" spans="1:4" x14ac:dyDescent="0.45">
      <c r="A9" t="s">
        <v>58</v>
      </c>
      <c r="B9" t="s">
        <v>59</v>
      </c>
      <c r="C9" t="s">
        <v>37</v>
      </c>
      <c r="D9" t="s">
        <v>60</v>
      </c>
    </row>
    <row r="10" spans="1:4" x14ac:dyDescent="0.45">
      <c r="A10" t="s">
        <v>61</v>
      </c>
      <c r="B10" t="s">
        <v>62</v>
      </c>
      <c r="C10" t="s">
        <v>37</v>
      </c>
      <c r="D10" t="s">
        <v>63</v>
      </c>
    </row>
    <row r="11" spans="1:4" x14ac:dyDescent="0.45">
      <c r="A11" t="s">
        <v>64</v>
      </c>
      <c r="B11" t="s">
        <v>65</v>
      </c>
      <c r="C11" t="s">
        <v>37</v>
      </c>
      <c r="D11" t="s">
        <v>66</v>
      </c>
    </row>
    <row r="13" spans="1:4" x14ac:dyDescent="0.45">
      <c r="A13" t="s">
        <v>67</v>
      </c>
    </row>
    <row r="14" spans="1:4" x14ac:dyDescent="0.45">
      <c r="A14" t="s">
        <v>68</v>
      </c>
      <c r="B14" t="s">
        <v>69</v>
      </c>
      <c r="D14" t="s">
        <v>70</v>
      </c>
    </row>
    <row r="15" spans="1:4" x14ac:dyDescent="0.45">
      <c r="A15" t="s">
        <v>71</v>
      </c>
      <c r="B15" t="s">
        <v>72</v>
      </c>
      <c r="D15" t="s">
        <v>73</v>
      </c>
    </row>
    <row r="16" spans="1:4" x14ac:dyDescent="0.45">
      <c r="A16" t="s">
        <v>74</v>
      </c>
      <c r="B16" t="s">
        <v>75</v>
      </c>
      <c r="D16" t="s">
        <v>76</v>
      </c>
    </row>
    <row r="17" spans="1:4" x14ac:dyDescent="0.45">
      <c r="A17" t="s">
        <v>77</v>
      </c>
      <c r="B17" t="s">
        <v>78</v>
      </c>
      <c r="D17" t="s">
        <v>79</v>
      </c>
    </row>
    <row r="19" spans="1:4" x14ac:dyDescent="0.45">
      <c r="A19" t="s">
        <v>80</v>
      </c>
      <c r="B19" t="s">
        <v>81</v>
      </c>
      <c r="D19" t="s">
        <v>82</v>
      </c>
    </row>
    <row r="20" spans="1:4" x14ac:dyDescent="0.45">
      <c r="A20" t="s">
        <v>83</v>
      </c>
      <c r="B20" t="s">
        <v>84</v>
      </c>
      <c r="D20" t="s">
        <v>85</v>
      </c>
    </row>
    <row r="21" spans="1:4" x14ac:dyDescent="0.45">
      <c r="A21" t="s">
        <v>86</v>
      </c>
      <c r="B21" t="s">
        <v>87</v>
      </c>
      <c r="D21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Headline</vt:lpstr>
      <vt:lpstr>Headline vs Core</vt:lpstr>
      <vt:lpstr>Nominal vs Volume</vt:lpstr>
      <vt:lpstr>Subsectors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Zhao-Murray</cp:lastModifiedBy>
  <dcterms:created xsi:type="dcterms:W3CDTF">2026-05-21T21:35:31Z</dcterms:created>
  <dcterms:modified xsi:type="dcterms:W3CDTF">2026-05-22T12:39:44Z</dcterms:modified>
</cp:coreProperties>
</file>