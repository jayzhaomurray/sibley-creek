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yzh\projects\macro-research-department\bylines\commentaries\"/>
    </mc:Choice>
  </mc:AlternateContent>
  <xr:revisionPtr revIDLastSave="0" documentId="13_ncr:1_{9FEFB0EB-3346-4637-8538-51B684F5072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ibley-pipe" sheetId="3" r:id="rId2"/>
    <sheet name="statcan-ns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1" i="1"/>
  <c r="D26" i="1"/>
  <c r="E15" i="1"/>
  <c r="E16" i="1"/>
  <c r="E17" i="1"/>
  <c r="E21" i="1"/>
  <c r="E22" i="1"/>
  <c r="D38" i="1"/>
  <c r="C27" i="1"/>
  <c r="C28" i="1"/>
  <c r="E31" i="1"/>
  <c r="D32" i="1"/>
  <c r="E33" i="1"/>
  <c r="E37" i="1"/>
  <c r="E38" i="1"/>
  <c r="C43" i="1"/>
  <c r="C44" i="1"/>
  <c r="D58" i="1"/>
  <c r="E47" i="1"/>
  <c r="C48" i="1"/>
  <c r="E49" i="1"/>
  <c r="D62" i="1"/>
  <c r="E54" i="1"/>
  <c r="D71" i="1"/>
  <c r="C60" i="1"/>
  <c r="E64" i="1"/>
  <c r="E5" i="1"/>
  <c r="E121" i="1"/>
  <c r="C121" i="1"/>
  <c r="D121" i="1"/>
  <c r="E120" i="1"/>
  <c r="C120" i="1"/>
  <c r="D120" i="1"/>
  <c r="E119" i="1"/>
  <c r="C119" i="1"/>
  <c r="D119" i="1"/>
  <c r="E118" i="1"/>
  <c r="C118" i="1"/>
  <c r="D118" i="1"/>
  <c r="E117" i="1"/>
  <c r="C117" i="1"/>
  <c r="D117" i="1"/>
  <c r="E116" i="1"/>
  <c r="C116" i="1"/>
  <c r="D116" i="1"/>
  <c r="E115" i="1"/>
  <c r="C115" i="1"/>
  <c r="D115" i="1"/>
  <c r="E114" i="1"/>
  <c r="C114" i="1"/>
  <c r="D114" i="1"/>
  <c r="E113" i="1"/>
  <c r="C113" i="1"/>
  <c r="D113" i="1"/>
  <c r="E112" i="1"/>
  <c r="C112" i="1"/>
  <c r="D112" i="1"/>
  <c r="E111" i="1"/>
  <c r="C111" i="1"/>
  <c r="D111" i="1"/>
  <c r="E110" i="1"/>
  <c r="C110" i="1"/>
  <c r="D110" i="1"/>
  <c r="E109" i="1"/>
  <c r="C109" i="1"/>
  <c r="D109" i="1"/>
  <c r="E108" i="1"/>
  <c r="C108" i="1"/>
  <c r="D108" i="1"/>
  <c r="E107" i="1"/>
  <c r="C107" i="1"/>
  <c r="D107" i="1"/>
  <c r="E106" i="1"/>
  <c r="C106" i="1"/>
  <c r="D106" i="1"/>
  <c r="E105" i="1"/>
  <c r="C105" i="1"/>
  <c r="D105" i="1"/>
  <c r="E104" i="1"/>
  <c r="C104" i="1"/>
  <c r="D104" i="1"/>
  <c r="E103" i="1"/>
  <c r="C103" i="1"/>
  <c r="D103" i="1"/>
  <c r="E102" i="1"/>
  <c r="C102" i="1"/>
  <c r="D102" i="1"/>
  <c r="E101" i="1"/>
  <c r="C101" i="1"/>
  <c r="D101" i="1"/>
  <c r="E100" i="1"/>
  <c r="C100" i="1"/>
  <c r="D100" i="1"/>
  <c r="E99" i="1"/>
  <c r="C99" i="1"/>
  <c r="D99" i="1"/>
  <c r="E98" i="1"/>
  <c r="C98" i="1"/>
  <c r="D98" i="1"/>
  <c r="E97" i="1"/>
  <c r="C97" i="1"/>
  <c r="D97" i="1"/>
  <c r="E96" i="1"/>
  <c r="C96" i="1"/>
  <c r="D96" i="1"/>
  <c r="E95" i="1"/>
  <c r="C95" i="1"/>
  <c r="D95" i="1"/>
  <c r="E94" i="1"/>
  <c r="C94" i="1"/>
  <c r="D94" i="1"/>
  <c r="E93" i="1"/>
  <c r="C93" i="1"/>
  <c r="D93" i="1"/>
  <c r="E92" i="1"/>
  <c r="C92" i="1"/>
  <c r="D92" i="1"/>
  <c r="E91" i="1"/>
  <c r="C91" i="1"/>
  <c r="D91" i="1"/>
  <c r="E90" i="1"/>
  <c r="C90" i="1"/>
  <c r="D90" i="1"/>
  <c r="E89" i="1"/>
  <c r="C89" i="1"/>
  <c r="D89" i="1"/>
  <c r="E88" i="1"/>
  <c r="C88" i="1"/>
  <c r="D88" i="1"/>
  <c r="E87" i="1"/>
  <c r="C87" i="1"/>
  <c r="D87" i="1"/>
  <c r="E86" i="1"/>
  <c r="C86" i="1"/>
  <c r="D86" i="1"/>
  <c r="E85" i="1"/>
  <c r="C85" i="1"/>
  <c r="D85" i="1"/>
  <c r="E84" i="1"/>
  <c r="C84" i="1"/>
  <c r="D84" i="1"/>
  <c r="E83" i="1"/>
  <c r="C83" i="1"/>
  <c r="D83" i="1"/>
  <c r="E82" i="1"/>
  <c r="C82" i="1"/>
  <c r="D82" i="1"/>
  <c r="E81" i="1"/>
  <c r="C81" i="1"/>
  <c r="D81" i="1"/>
  <c r="E80" i="1"/>
  <c r="C80" i="1"/>
  <c r="D80" i="1"/>
  <c r="E79" i="1"/>
  <c r="C79" i="1"/>
  <c r="D79" i="1"/>
  <c r="E78" i="1"/>
  <c r="C78" i="1"/>
  <c r="D78" i="1"/>
  <c r="E77" i="1"/>
  <c r="C77" i="1"/>
  <c r="D77" i="1"/>
  <c r="E76" i="1"/>
  <c r="C76" i="1"/>
  <c r="D76" i="1"/>
  <c r="E75" i="1"/>
  <c r="C75" i="1"/>
  <c r="D75" i="1"/>
  <c r="E74" i="1"/>
  <c r="C74" i="1"/>
  <c r="D74" i="1"/>
  <c r="E73" i="1"/>
  <c r="C73" i="1"/>
  <c r="D73" i="1"/>
  <c r="E72" i="1"/>
  <c r="C72" i="1"/>
  <c r="D72" i="1"/>
  <c r="E71" i="1"/>
  <c r="C71" i="1"/>
  <c r="E70" i="1"/>
  <c r="C70" i="1"/>
  <c r="E69" i="1"/>
  <c r="C69" i="1"/>
  <c r="D69" i="1"/>
  <c r="E68" i="1"/>
  <c r="C68" i="1"/>
  <c r="D68" i="1"/>
  <c r="E67" i="1"/>
  <c r="C67" i="1"/>
  <c r="D67" i="1"/>
  <c r="E66" i="1"/>
  <c r="C66" i="1"/>
  <c r="D66" i="1"/>
  <c r="E65" i="1"/>
  <c r="C65" i="1"/>
  <c r="D65" i="1"/>
  <c r="C64" i="1"/>
  <c r="D64" i="1"/>
  <c r="C63" i="1"/>
  <c r="D63" i="1"/>
  <c r="E62" i="1"/>
  <c r="C62" i="1"/>
  <c r="E61" i="1"/>
  <c r="C61" i="1"/>
  <c r="D61" i="1"/>
  <c r="E60" i="1"/>
  <c r="E57" i="1"/>
  <c r="C57" i="1"/>
  <c r="D57" i="1"/>
  <c r="E56" i="1"/>
  <c r="C56" i="1"/>
  <c r="D56" i="1"/>
  <c r="E55" i="1"/>
  <c r="C55" i="1"/>
  <c r="C53" i="1"/>
  <c r="D53" i="1"/>
  <c r="C52" i="1"/>
  <c r="D52" i="1"/>
  <c r="D51" i="1"/>
  <c r="D50" i="1"/>
  <c r="E45" i="1"/>
  <c r="C45" i="1"/>
  <c r="D45" i="1"/>
  <c r="E44" i="1"/>
  <c r="E41" i="1"/>
  <c r="C41" i="1"/>
  <c r="D41" i="1"/>
  <c r="E40" i="1"/>
  <c r="C40" i="1"/>
  <c r="D40" i="1"/>
  <c r="E39" i="1"/>
  <c r="C39" i="1"/>
  <c r="C37" i="1"/>
  <c r="D37" i="1"/>
  <c r="C36" i="1"/>
  <c r="D36" i="1"/>
  <c r="D35" i="1"/>
  <c r="D34" i="1"/>
  <c r="E29" i="1"/>
  <c r="C29" i="1"/>
  <c r="D29" i="1"/>
  <c r="E28" i="1"/>
  <c r="E25" i="1"/>
  <c r="C25" i="1"/>
  <c r="D25" i="1"/>
  <c r="E24" i="1"/>
  <c r="C24" i="1"/>
  <c r="D24" i="1"/>
  <c r="E23" i="1"/>
  <c r="C23" i="1"/>
  <c r="C21" i="1"/>
  <c r="C20" i="1"/>
  <c r="D20" i="1"/>
  <c r="D19" i="1"/>
  <c r="D18" i="1"/>
  <c r="E13" i="1"/>
  <c r="C13" i="1"/>
  <c r="E12" i="1"/>
  <c r="C12" i="1"/>
  <c r="E8" i="1"/>
  <c r="C8" i="1"/>
  <c r="E7" i="1"/>
  <c r="C7" i="1"/>
  <c r="E6" i="1"/>
  <c r="C6" i="1"/>
  <c r="C5" i="1"/>
  <c r="C4" i="1"/>
  <c r="C3" i="1"/>
  <c r="D14" i="1" l="1"/>
  <c r="C18" i="1"/>
  <c r="C35" i="1"/>
  <c r="C51" i="1"/>
  <c r="C14" i="1"/>
  <c r="C30" i="1"/>
  <c r="C46" i="1"/>
  <c r="E14" i="1"/>
  <c r="E46" i="1"/>
  <c r="D31" i="1"/>
  <c r="C47" i="1"/>
  <c r="C50" i="1"/>
  <c r="E18" i="1"/>
  <c r="E34" i="1"/>
  <c r="E50" i="1"/>
  <c r="C19" i="1"/>
  <c r="D46" i="1"/>
  <c r="E19" i="1"/>
  <c r="E35" i="1"/>
  <c r="E51" i="1"/>
  <c r="E20" i="1"/>
  <c r="C31" i="1"/>
  <c r="E36" i="1"/>
  <c r="E52" i="1"/>
  <c r="C9" i="1"/>
  <c r="E26" i="1"/>
  <c r="E58" i="1"/>
  <c r="C16" i="1"/>
  <c r="D27" i="1"/>
  <c r="C32" i="1"/>
  <c r="D43" i="1"/>
  <c r="E53" i="1"/>
  <c r="C10" i="1"/>
  <c r="D22" i="1"/>
  <c r="E32" i="1"/>
  <c r="E48" i="1"/>
  <c r="E10" i="1"/>
  <c r="D17" i="1"/>
  <c r="C22" i="1"/>
  <c r="E27" i="1"/>
  <c r="D33" i="1"/>
  <c r="C38" i="1"/>
  <c r="E43" i="1"/>
  <c r="D49" i="1"/>
  <c r="C54" i="1"/>
  <c r="E59" i="1"/>
  <c r="C11" i="1"/>
  <c r="C17" i="1"/>
  <c r="D28" i="1"/>
  <c r="C33" i="1"/>
  <c r="D44" i="1"/>
  <c r="C49" i="1"/>
  <c r="D60" i="1"/>
  <c r="C34" i="1"/>
  <c r="D30" i="1"/>
  <c r="E30" i="1"/>
  <c r="D15" i="1"/>
  <c r="D47" i="1"/>
  <c r="C15" i="1"/>
  <c r="D42" i="1"/>
  <c r="D21" i="1"/>
  <c r="C26" i="1"/>
  <c r="C42" i="1"/>
  <c r="C58" i="1"/>
  <c r="E63" i="1"/>
  <c r="D16" i="1"/>
  <c r="E42" i="1"/>
  <c r="D48" i="1"/>
  <c r="D59" i="1"/>
  <c r="D54" i="1"/>
  <c r="C59" i="1"/>
  <c r="D70" i="1"/>
  <c r="D23" i="1"/>
  <c r="D39" i="1"/>
  <c r="D55" i="1"/>
</calcChain>
</file>

<file path=xl/sharedStrings.xml><?xml version="1.0" encoding="utf-8"?>
<sst xmlns="http://schemas.openxmlformats.org/spreadsheetml/2006/main" count="29" uniqueCount="29">
  <si>
    <t>Date</t>
  </si>
  <si>
    <t>CPI Level</t>
  </si>
  <si>
    <t>m/m (%)</t>
  </si>
  <si>
    <t>Source: Statistics Canada Web Data Service</t>
  </si>
  <si>
    <t>https://www150.statcan.gc.ca/t1/tbl1/en/tv.action?pid=1810000601</t>
  </si>
  <si>
    <t>Update monthly: paste the next month's Date in column A and the CPI level (StatCan 18-10-0004-01, all-items, SA) in column B. Y/Y, m/m and 3M AR auto-compute. Charts use the trailing 24 / 36 months from the seeded range (rows 2-61). To roll the chart window forward after extending: right-click each chart -&gt; Select Data -&gt; drag the source range.</t>
  </si>
  <si>
    <t>Group the two charts (Ctrl-click both, then Format -&gt; Group -&gt; Group), then right-click -&gt; Copy. Paste-special into Word as PNG to embed as an image.</t>
  </si>
  <si>
    <t>Geography</t>
  </si>
  <si>
    <t>Canada (map)</t>
  </si>
  <si>
    <t>All-items</t>
  </si>
  <si>
    <t>Food5</t>
  </si>
  <si>
    <t>Shelter6</t>
  </si>
  <si>
    <t>Household operations, furnishings and equipment</t>
  </si>
  <si>
    <t>Clothing and footwear</t>
  </si>
  <si>
    <t>Transportation</t>
  </si>
  <si>
    <t>Gasoline</t>
  </si>
  <si>
    <t>Health and personal care</t>
  </si>
  <si>
    <t>Recreation, education and reading</t>
  </si>
  <si>
    <t>Alcoholic beverages, tobacco products and recreational cannabis</t>
  </si>
  <si>
    <t>All-items excluding food and energy7</t>
  </si>
  <si>
    <t>All-items excluding energy7</t>
  </si>
  <si>
    <t>Energy7</t>
  </si>
  <si>
    <t>Goods8</t>
  </si>
  <si>
    <t>Services9</t>
  </si>
  <si>
    <t>Products and product groups3, 4</t>
  </si>
  <si>
    <t>date</t>
  </si>
  <si>
    <t>cpi level</t>
  </si>
  <si>
    <t>3-month</t>
  </si>
  <si>
    <t>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</si>
</sst>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15171A"/>
      <name val="Calibri"/>
      <family val="2"/>
    </font>
    <font>
      <i/>
      <sz val="9"/>
      <color rgb="FF6B6F7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17" fontId="0" fillId="0" borderId="0" xfId="0" applyNumberFormat="1"/>
    <xf numFmtId="165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3946"/>
      <color rgb="FF1517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CA" sz="900" b="0">
                <a:latin typeface="Manrope SemiBold" pitchFamily="2" charset="0"/>
              </a:rPr>
              <a:t>YEAR-OVER-YEAR + 3M AR, %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204806919843072"/>
          <c:y val="0.12183908045977011"/>
          <c:w val="0.8125515101408356"/>
          <c:h val="0.78532536881165715"/>
        </c:manualLayout>
      </c:layout>
      <c:lineChart>
        <c:grouping val="standard"/>
        <c:varyColors val="1"/>
        <c:ser>
          <c:idx val="1"/>
          <c:order val="0"/>
          <c:tx>
            <c:strRef>
              <c:f>Data!$E$1</c:f>
              <c:strCache>
                <c:ptCount val="1"/>
                <c:pt idx="0">
                  <c:v>3-month</c:v>
                </c:pt>
              </c:strCache>
            </c:strRef>
          </c:tx>
          <c:spPr>
            <a:ln w="12700" cap="flat">
              <a:solidFill>
                <a:srgbClr val="15171A"/>
              </a:solidFill>
              <a:prstDash val="dash"/>
            </a:ln>
          </c:spPr>
          <c:marker>
            <c:symbol val="none"/>
          </c:marker>
          <c:cat>
            <c:numRef>
              <c:f>Data!$A$23:$A$62</c:f>
              <c:numCache>
                <c:formatCode>mmm\ yyyy</c:formatCode>
                <c:ptCount val="4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</c:numCache>
            </c:numRef>
          </c:cat>
          <c:val>
            <c:numRef>
              <c:f>Data!$E$23:$E$62</c:f>
              <c:numCache>
                <c:formatCode>0.00</c:formatCode>
                <c:ptCount val="40"/>
                <c:pt idx="0">
                  <c:v>3.1597310094167552</c:v>
                </c:pt>
                <c:pt idx="1">
                  <c:v>2.0900665688963427</c:v>
                </c:pt>
                <c:pt idx="2">
                  <c:v>2.8841154469641195</c:v>
                </c:pt>
                <c:pt idx="3">
                  <c:v>3.1349687224376366</c:v>
                </c:pt>
                <c:pt idx="4">
                  <c:v>2.8672019470529664</c:v>
                </c:pt>
                <c:pt idx="5">
                  <c:v>3.3906362637835752</c:v>
                </c:pt>
                <c:pt idx="6">
                  <c:v>2.8486403097725432</c:v>
                </c:pt>
                <c:pt idx="7">
                  <c:v>5.4871457133925938</c:v>
                </c:pt>
                <c:pt idx="8">
                  <c:v>5.2072578153707472</c:v>
                </c:pt>
                <c:pt idx="9">
                  <c:v>3.3491476914874418</c:v>
                </c:pt>
                <c:pt idx="10">
                  <c:v>1.7805604185549884</c:v>
                </c:pt>
                <c:pt idx="11">
                  <c:v>2.032971863167421</c:v>
                </c:pt>
                <c:pt idx="12">
                  <c:v>2.2907121121422014</c:v>
                </c:pt>
                <c:pt idx="13">
                  <c:v>1.0100929989933505</c:v>
                </c:pt>
                <c:pt idx="14">
                  <c:v>1.0075487242393155</c:v>
                </c:pt>
                <c:pt idx="15">
                  <c:v>2.2776689224460966</c:v>
                </c:pt>
                <c:pt idx="16">
                  <c:v>3.3023589249833618</c:v>
                </c:pt>
                <c:pt idx="17">
                  <c:v>2.52672329166721</c:v>
                </c:pt>
                <c:pt idx="18">
                  <c:v>2.2647734204898073</c:v>
                </c:pt>
                <c:pt idx="19">
                  <c:v>1.5018510781681593</c:v>
                </c:pt>
                <c:pt idx="20">
                  <c:v>0.99874381601730011</c:v>
                </c:pt>
                <c:pt idx="21">
                  <c:v>1.2464791981284806</c:v>
                </c:pt>
                <c:pt idx="22">
                  <c:v>1.7472285783940888</c:v>
                </c:pt>
                <c:pt idx="23">
                  <c:v>2.7575945746479036</c:v>
                </c:pt>
                <c:pt idx="24">
                  <c:v>1.993708166038699</c:v>
                </c:pt>
                <c:pt idx="25">
                  <c:v>3.7554623008480892</c:v>
                </c:pt>
                <c:pt idx="26">
                  <c:v>2.9904483285400074</c:v>
                </c:pt>
                <c:pt idx="27">
                  <c:v>1.4851231122594344</c:v>
                </c:pt>
                <c:pt idx="28">
                  <c:v>0</c:v>
                </c:pt>
                <c:pt idx="29">
                  <c:v>0.9821903008795374</c:v>
                </c:pt>
                <c:pt idx="30">
                  <c:v>2.2255716976002704</c:v>
                </c:pt>
                <c:pt idx="31">
                  <c:v>1.9715981307828701</c:v>
                </c:pt>
                <c:pt idx="32">
                  <c:v>2.7117106917732947</c:v>
                </c:pt>
                <c:pt idx="33">
                  <c:v>2.9591099919632269</c:v>
                </c:pt>
                <c:pt idx="34">
                  <c:v>3.2027039344914021</c:v>
                </c:pt>
                <c:pt idx="35">
                  <c:v>2.6934520493826941</c:v>
                </c:pt>
                <c:pt idx="36">
                  <c:v>2.4433815996646402</c:v>
                </c:pt>
                <c:pt idx="37">
                  <c:v>2.1916994584927796</c:v>
                </c:pt>
                <c:pt idx="38">
                  <c:v>2.9212931020702326</c:v>
                </c:pt>
                <c:pt idx="39">
                  <c:v>3.9067468959312013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5-491F-B89C-D01823AAFEC9}"/>
            </c:ext>
          </c:extLst>
        </c:ser>
        <c:ser>
          <c:idx val="0"/>
          <c:order val="1"/>
          <c:tx>
            <c:strRef>
              <c:f>Data!$D$1</c:f>
              <c:strCache>
                <c:ptCount val="1"/>
                <c:pt idx="0">
                  <c:v>y/y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dPt>
            <c:idx val="39"/>
            <c:marker>
              <c:symbol val="circle"/>
              <c:size val="5"/>
              <c:spPr>
                <a:solidFill>
                  <a:srgbClr val="E63946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925-491F-B89C-D01823AAFEC9}"/>
              </c:ext>
            </c:extLst>
          </c:dPt>
          <c:cat>
            <c:numRef>
              <c:f>Data!$A$23:$A$62</c:f>
              <c:numCache>
                <c:formatCode>mmm\ yyyy</c:formatCode>
                <c:ptCount val="4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</c:numCache>
            </c:numRef>
          </c:cat>
          <c:val>
            <c:numRef>
              <c:f>Data!$D$23:$D$62</c:f>
              <c:numCache>
                <c:formatCode>0.00</c:formatCode>
                <c:ptCount val="40"/>
                <c:pt idx="0">
                  <c:v>5.8783321941216604</c:v>
                </c:pt>
                <c:pt idx="1">
                  <c:v>5.2953156822810543</c:v>
                </c:pt>
                <c:pt idx="2">
                  <c:v>4.2981867024848963</c:v>
                </c:pt>
                <c:pt idx="3">
                  <c:v>4.4846050870147147</c:v>
                </c:pt>
                <c:pt idx="4">
                  <c:v>3.3752481800132239</c:v>
                </c:pt>
                <c:pt idx="5">
                  <c:v>2.890932982917227</c:v>
                </c:pt>
                <c:pt idx="6">
                  <c:v>3.2851511169513792</c:v>
                </c:pt>
                <c:pt idx="7">
                  <c:v>4.0762656147271592</c:v>
                </c:pt>
                <c:pt idx="8">
                  <c:v>3.7958115183245988</c:v>
                </c:pt>
                <c:pt idx="9">
                  <c:v>3.1229668184775683</c:v>
                </c:pt>
                <c:pt idx="10">
                  <c:v>3.046014257939067</c:v>
                </c:pt>
                <c:pt idx="11">
                  <c:v>3.3722438391699194</c:v>
                </c:pt>
                <c:pt idx="12">
                  <c:v>2.9051000645577751</c:v>
                </c:pt>
                <c:pt idx="13">
                  <c:v>2.7724049000644735</c:v>
                </c:pt>
                <c:pt idx="14">
                  <c:v>2.8976175144880933</c:v>
                </c:pt>
                <c:pt idx="15">
                  <c:v>2.6905829596412634</c:v>
                </c:pt>
                <c:pt idx="16">
                  <c:v>2.8809218950063942</c:v>
                </c:pt>
                <c:pt idx="17">
                  <c:v>2.6819923371647514</c:v>
                </c:pt>
                <c:pt idx="18">
                  <c:v>2.5445292620865034</c:v>
                </c:pt>
                <c:pt idx="19">
                  <c:v>1.8951358180669509</c:v>
                </c:pt>
                <c:pt idx="20">
                  <c:v>1.6393442622950838</c:v>
                </c:pt>
                <c:pt idx="21">
                  <c:v>2.018927444794949</c:v>
                </c:pt>
                <c:pt idx="22">
                  <c:v>1.8867924528301883</c:v>
                </c:pt>
                <c:pt idx="23">
                  <c:v>1.8193224592220947</c:v>
                </c:pt>
                <c:pt idx="24">
                  <c:v>1.9447929736511993</c:v>
                </c:pt>
                <c:pt idx="25">
                  <c:v>2.5721455457967446</c:v>
                </c:pt>
                <c:pt idx="26">
                  <c:v>2.3153942428034924</c:v>
                </c:pt>
                <c:pt idx="27">
                  <c:v>1.7467248908296762</c:v>
                </c:pt>
                <c:pt idx="28">
                  <c:v>1.7423771001866983</c:v>
                </c:pt>
                <c:pt idx="29">
                  <c:v>1.9278606965174028</c:v>
                </c:pt>
                <c:pt idx="30">
                  <c:v>1.7369727047146455</c:v>
                </c:pt>
                <c:pt idx="31">
                  <c:v>1.8598884066955979</c:v>
                </c:pt>
                <c:pt idx="32">
                  <c:v>2.3573200992555998</c:v>
                </c:pt>
                <c:pt idx="33">
                  <c:v>2.1645021645021689</c:v>
                </c:pt>
                <c:pt idx="34">
                  <c:v>2.2222222222222143</c:v>
                </c:pt>
                <c:pt idx="35">
                  <c:v>2.3413431916204486</c:v>
                </c:pt>
                <c:pt idx="36">
                  <c:v>2.2769230769230653</c:v>
                </c:pt>
                <c:pt idx="37">
                  <c:v>1.8348623853210899</c:v>
                </c:pt>
                <c:pt idx="38">
                  <c:v>2.3241590214067243</c:v>
                </c:pt>
                <c:pt idx="39">
                  <c:v>2.8816676885346615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25-491F-B89C-D01823AAF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ln w="9525">
            <a:solidFill>
              <a:srgbClr val="15171A"/>
            </a:solidFill>
            <a:prstDash val="solid"/>
          </a:ln>
        </c:spPr>
        <c:txPr>
          <a:bodyPr/>
          <a:lstStyle/>
          <a:p>
            <a:pPr>
              <a:defRPr sz="900">
                <a:latin typeface="Manrope" pitchFamily="2" charset="0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  <c:majorUnit val="1"/>
        <c:majorTimeUnit val="years"/>
      </c:dateAx>
      <c:valAx>
        <c:axId val="100"/>
        <c:scaling>
          <c:orientation val="minMax"/>
          <c:max val="6"/>
          <c:min val="0"/>
        </c:scaling>
        <c:delete val="0"/>
        <c:axPos val="l"/>
        <c:majorGridlines>
          <c:spPr>
            <a:ln w="9525">
              <a:solidFill>
                <a:schemeClr val="bg1">
                  <a:lumMod val="85000"/>
                </a:schemeClr>
              </a:solidFill>
            </a:ln>
          </c:spPr>
        </c:majorGridlines>
        <c:numFmt formatCode="0&quot;%&quot;" sourceLinked="0"/>
        <c:majorTickMark val="none"/>
        <c:minorTickMark val="none"/>
        <c:tickLblPos val="nextTo"/>
        <c:spPr>
          <a:ln w="9525">
            <a:solidFill>
              <a:srgbClr val="15171A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ysClr val="windowText" lastClr="000000"/>
                </a:solidFill>
                <a:latin typeface="IBM Plex Mono" panose="020B0509050203000203" pitchFamily="49" charset="0"/>
              </a:defRPr>
            </a:pPr>
            <a:endParaRPr lang="en-US"/>
          </a:p>
        </c:txPr>
        <c:crossAx val="10"/>
        <c:crosses val="autoZero"/>
        <c:crossBetween val="between"/>
        <c:majorUnit val="2"/>
      </c:valAx>
      <c:spPr>
        <a:ln>
          <a:solidFill>
            <a:srgbClr val="15171A"/>
          </a:solidFill>
        </a:ln>
      </c:spPr>
    </c:plotArea>
    <c:legend>
      <c:legendPos val="r"/>
      <c:layout>
        <c:manualLayout>
          <c:xMode val="edge"/>
          <c:yMode val="edge"/>
          <c:x val="0.50046625514403287"/>
          <c:y val="0.18580727867264574"/>
          <c:w val="0.44204403292181071"/>
          <c:h val="0.14232710496656181"/>
        </c:manualLayout>
      </c:layout>
      <c:overlay val="0"/>
      <c:txPr>
        <a:bodyPr/>
        <a:lstStyle/>
        <a:p>
          <a:pPr>
            <a:defRPr sz="800">
              <a:latin typeface="Manrope" pitchFamily="2" charset="0"/>
            </a:defRPr>
          </a:pPr>
          <a:endParaRPr lang="en-US"/>
        </a:p>
      </c:txPr>
    </c:legend>
    <c:plotVisOnly val="1"/>
    <c:dispBlanksAs val="gap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ysClr val="windowText" lastClr="000000"/>
                </a:solidFill>
                <a:latin typeface="Manrope SemiBold" pitchFamily="2" charset="0"/>
                <a:ea typeface="+mn-ea"/>
                <a:cs typeface="+mn-cs"/>
              </a:defRPr>
            </a:pPr>
            <a:r>
              <a:rPr lang="en-CA" sz="900">
                <a:solidFill>
                  <a:sysClr val="windowText" lastClr="000000"/>
                </a:solidFill>
                <a:latin typeface="Manrope SemiBold" pitchFamily="2" charset="0"/>
              </a:rPr>
              <a:t>MONTH-OVER-MONTH,</a:t>
            </a:r>
            <a:r>
              <a:rPr lang="en-CA" sz="900" baseline="0">
                <a:solidFill>
                  <a:sysClr val="windowText" lastClr="000000"/>
                </a:solidFill>
                <a:latin typeface="Manrope SemiBold" pitchFamily="2" charset="0"/>
              </a:rPr>
              <a:t> %</a:t>
            </a:r>
            <a:endParaRPr lang="en-CA" sz="900">
              <a:solidFill>
                <a:sysClr val="windowText" lastClr="000000"/>
              </a:solidFill>
              <a:latin typeface="Manrope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ysClr val="windowText" lastClr="000000"/>
              </a:solidFill>
              <a:latin typeface="Manrope SemiBold" pitchFamily="2" charset="0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7590712469716416"/>
          <c:y val="0.12848760191868983"/>
          <c:w val="0.76642558132718985"/>
          <c:h val="0.779836622336622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5171A"/>
            </a:solidFill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rgbClr val="E63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D-4CFB-B1B6-13304AE4C4B0}"/>
              </c:ext>
            </c:extLst>
          </c:dPt>
          <c:dPt>
            <c:idx val="27"/>
            <c:invertIfNegative val="0"/>
            <c:bubble3D val="0"/>
            <c:spPr>
              <a:solidFill>
                <a:srgbClr val="E639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D-4CFB-B1B6-13304AE4C4B0}"/>
              </c:ext>
            </c:extLst>
          </c:dPt>
          <c:cat>
            <c:numRef>
              <c:f>Data!$A$47:$A$62</c:f>
              <c:numCache>
                <c:formatCode>mmm\ yyyy</c:formatCode>
                <c:ptCount val="1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Data!$C$47:$C$62</c:f>
              <c:numCache>
                <c:formatCode>0.00</c:formatCode>
                <c:ptCount val="16"/>
                <c:pt idx="0">
                  <c:v>0.12322858903264233</c:v>
                </c:pt>
                <c:pt idx="1">
                  <c:v>0.61538461538461764</c:v>
                </c:pt>
                <c:pt idx="2">
                  <c:v>0</c:v>
                </c:pt>
                <c:pt idx="3">
                  <c:v>-0.24464831804281717</c:v>
                </c:pt>
                <c:pt idx="4">
                  <c:v>0.24524831391785629</c:v>
                </c:pt>
                <c:pt idx="5">
                  <c:v>0.24464831804280607</c:v>
                </c:pt>
                <c:pt idx="6">
                  <c:v>6.1012812690663942E-2</c:v>
                </c:pt>
                <c:pt idx="7">
                  <c:v>0.18292682926830395</c:v>
                </c:pt>
                <c:pt idx="8">
                  <c:v>0.42604990870358517</c:v>
                </c:pt>
                <c:pt idx="9">
                  <c:v>0.12121212121212199</c:v>
                </c:pt>
                <c:pt idx="10">
                  <c:v>0.2421307506053294</c:v>
                </c:pt>
                <c:pt idx="11">
                  <c:v>0.30193236714974869</c:v>
                </c:pt>
                <c:pt idx="12">
                  <c:v>6.0204695966281641E-2</c:v>
                </c:pt>
                <c:pt idx="13">
                  <c:v>0.18050541516245744</c:v>
                </c:pt>
                <c:pt idx="14">
                  <c:v>0.48048048048048297</c:v>
                </c:pt>
                <c:pt idx="15">
                  <c:v>0.29886431560071092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D-4CFB-B1B6-13304AE4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686038047"/>
        <c:axId val="686039007"/>
      </c:barChart>
      <c:catAx>
        <c:axId val="686038047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anrope" pitchFamily="2" charset="0"/>
                <a:ea typeface="+mn-ea"/>
                <a:cs typeface="+mn-cs"/>
              </a:defRPr>
            </a:pPr>
            <a:endParaRPr lang="en-US"/>
          </a:p>
        </c:txPr>
        <c:crossAx val="686039007"/>
        <c:crosses val="autoZero"/>
        <c:auto val="0"/>
        <c:lblAlgn val="ctr"/>
        <c:lblOffset val="100"/>
        <c:tickLblSkip val="6"/>
        <c:noMultiLvlLbl val="0"/>
      </c:catAx>
      <c:valAx>
        <c:axId val="6860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IBM Plex Mono" panose="020B0509050203000203" pitchFamily="49" charset="0"/>
                <a:ea typeface="+mn-ea"/>
                <a:cs typeface="+mn-cs"/>
              </a:defRPr>
            </a:pPr>
            <a:endParaRPr lang="en-US"/>
          </a:p>
        </c:txPr>
        <c:crossAx val="686038047"/>
        <c:crosses val="autoZero"/>
        <c:crossBetween val="between"/>
        <c:majorUnit val="0.2"/>
      </c:valAx>
      <c:spPr>
        <a:noFill/>
        <a:ln>
          <a:solidFill>
            <a:srgbClr val="15171A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352549</xdr:colOff>
      <xdr:row>0</xdr:row>
      <xdr:rowOff>129887</xdr:rowOff>
    </xdr:from>
    <xdr:to>
      <xdr:col>13</xdr:col>
      <xdr:colOff>18815</xdr:colOff>
      <xdr:row>16</xdr:row>
      <xdr:rowOff>35299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3D6817A-4081-3C82-D10C-98ADCBE05C90}"/>
            </a:ext>
          </a:extLst>
        </xdr:cNvPr>
        <xdr:cNvGrpSpPr/>
      </xdr:nvGrpSpPr>
      <xdr:grpSpPr>
        <a:xfrm>
          <a:off x="4988611" y="129887"/>
          <a:ext cx="4858655" cy="2805058"/>
          <a:chOff x="4991881" y="129887"/>
          <a:chExt cx="4855749" cy="2795757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4FA56CB-1956-49C9-8FEC-DAFD4E12AF1A}"/>
              </a:ext>
            </a:extLst>
          </xdr:cNvPr>
          <xdr:cNvGraphicFramePr>
            <a:graphicFrameLocks/>
          </xdr:cNvGraphicFramePr>
        </xdr:nvGraphicFramePr>
        <xdr:xfrm>
          <a:off x="7417630" y="129887"/>
          <a:ext cx="2430000" cy="27957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E9AD6353-0475-43C0-9967-114A1D755B2B}"/>
              </a:ext>
            </a:extLst>
          </xdr:cNvPr>
          <xdr:cNvGraphicFramePr>
            <a:graphicFrameLocks/>
          </xdr:cNvGraphicFramePr>
        </xdr:nvGraphicFramePr>
        <xdr:xfrm>
          <a:off x="4991881" y="129888"/>
          <a:ext cx="2425210" cy="27897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F1" zoomScale="113" zoomScaleNormal="113" workbookViewId="0">
      <selection activeCell="R5" sqref="R5"/>
    </sheetView>
  </sheetViews>
  <sheetFormatPr defaultRowHeight="14.25" x14ac:dyDescent="0.45"/>
  <cols>
    <col min="1" max="5" width="13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28</v>
      </c>
      <c r="E1" s="1" t="s">
        <v>27</v>
      </c>
    </row>
    <row r="2" spans="1:5" x14ac:dyDescent="0.45">
      <c r="A2" s="2">
        <v>44287</v>
      </c>
      <c r="B2" s="3"/>
    </row>
    <row r="3" spans="1:5" x14ac:dyDescent="0.45">
      <c r="A3" s="2">
        <v>44317</v>
      </c>
      <c r="B3" s="3">
        <v>140.30000000000001</v>
      </c>
      <c r="C3" s="4" t="str">
        <f t="shared" ref="C3:C34" si="0">IFERROR((B3/B2-1)*100,"")</f>
        <v/>
      </c>
    </row>
    <row r="4" spans="1:5" x14ac:dyDescent="0.45">
      <c r="A4" s="2">
        <v>44348</v>
      </c>
      <c r="B4" s="3">
        <v>140.69999999999999</v>
      </c>
      <c r="C4" s="4">
        <f t="shared" si="0"/>
        <v>0.28510334996434405</v>
      </c>
    </row>
    <row r="5" spans="1:5" x14ac:dyDescent="0.45">
      <c r="A5" s="2">
        <v>44378</v>
      </c>
      <c r="B5" s="3">
        <v>141.4</v>
      </c>
      <c r="C5" s="4">
        <f t="shared" si="0"/>
        <v>0.49751243781095411</v>
      </c>
      <c r="E5" s="4" t="str">
        <f t="shared" ref="E5:E36" si="1">IFERROR(((B5/B2)^4-1)*100,"")</f>
        <v/>
      </c>
    </row>
    <row r="6" spans="1:5" x14ac:dyDescent="0.45">
      <c r="A6" s="2">
        <v>44409</v>
      </c>
      <c r="B6" s="3">
        <v>142.30000000000001</v>
      </c>
      <c r="C6" s="4">
        <f t="shared" si="0"/>
        <v>0.63649222065063071</v>
      </c>
      <c r="E6" s="4">
        <f t="shared" si="1"/>
        <v>5.8251557248477193</v>
      </c>
    </row>
    <row r="7" spans="1:5" x14ac:dyDescent="0.45">
      <c r="A7" s="2">
        <v>44440</v>
      </c>
      <c r="B7" s="3">
        <v>143.1</v>
      </c>
      <c r="C7" s="4">
        <f t="shared" si="0"/>
        <v>0.56219255094869247</v>
      </c>
      <c r="E7" s="4">
        <f t="shared" si="1"/>
        <v>6.9995978192600949</v>
      </c>
    </row>
    <row r="8" spans="1:5" x14ac:dyDescent="0.45">
      <c r="A8" s="2">
        <v>44470</v>
      </c>
      <c r="B8" s="3">
        <v>143.9</v>
      </c>
      <c r="C8" s="4">
        <f t="shared" si="0"/>
        <v>0.55904961565340638</v>
      </c>
      <c r="E8" s="4">
        <f t="shared" si="1"/>
        <v>7.2619129087063028</v>
      </c>
    </row>
    <row r="9" spans="1:5" x14ac:dyDescent="0.45">
      <c r="A9" s="2">
        <v>44501</v>
      </c>
      <c r="B9" s="3">
        <v>144.5</v>
      </c>
      <c r="C9" s="4">
        <f t="shared" si="0"/>
        <v>0.41695621959694229</v>
      </c>
      <c r="E9" s="4">
        <f t="shared" si="1"/>
        <v>6.3290143416111722</v>
      </c>
    </row>
    <row r="10" spans="1:5" x14ac:dyDescent="0.45">
      <c r="A10" s="2">
        <v>44531</v>
      </c>
      <c r="B10" s="3">
        <v>145.19999999999999</v>
      </c>
      <c r="C10" s="4">
        <f t="shared" si="0"/>
        <v>0.48442906574392985</v>
      </c>
      <c r="E10" s="4">
        <f t="shared" si="1"/>
        <v>6.0005040512521202</v>
      </c>
    </row>
    <row r="11" spans="1:5" x14ac:dyDescent="0.45">
      <c r="A11" s="2">
        <v>44562</v>
      </c>
      <c r="B11" s="3">
        <v>146.30000000000001</v>
      </c>
      <c r="C11" s="4">
        <f t="shared" si="0"/>
        <v>0.75757575757577911</v>
      </c>
      <c r="E11" s="4">
        <f t="shared" si="1"/>
        <v>6.8400613558104562</v>
      </c>
    </row>
    <row r="12" spans="1:5" x14ac:dyDescent="0.45">
      <c r="A12" s="2">
        <v>44593</v>
      </c>
      <c r="B12" s="3">
        <v>147.30000000000001</v>
      </c>
      <c r="C12" s="4">
        <f t="shared" si="0"/>
        <v>0.68352699931646388</v>
      </c>
      <c r="E12" s="4">
        <f t="shared" si="1"/>
        <v>7.9790740606056731</v>
      </c>
    </row>
    <row r="13" spans="1:5" x14ac:dyDescent="0.45">
      <c r="A13" s="2">
        <v>44621</v>
      </c>
      <c r="B13" s="3">
        <v>148.9</v>
      </c>
      <c r="C13" s="4">
        <f t="shared" si="0"/>
        <v>1.0862186014935382</v>
      </c>
      <c r="E13" s="4">
        <f t="shared" si="1"/>
        <v>10.589100475424406</v>
      </c>
    </row>
    <row r="14" spans="1:5" x14ac:dyDescent="0.45">
      <c r="A14" s="2">
        <v>44652</v>
      </c>
      <c r="B14" s="3">
        <v>149.4</v>
      </c>
      <c r="C14" s="4">
        <f t="shared" si="0"/>
        <v>0.33579583613163599</v>
      </c>
      <c r="D14" s="4" t="str">
        <f t="shared" ref="D14:D45" si="2">IFERROR((B14/B2-1)*100,"")</f>
        <v/>
      </c>
      <c r="E14" s="4">
        <f t="shared" si="1"/>
        <v>8.7489532547338822</v>
      </c>
    </row>
    <row r="15" spans="1:5" x14ac:dyDescent="0.45">
      <c r="A15" s="2">
        <v>44682</v>
      </c>
      <c r="B15" s="3">
        <v>151.1</v>
      </c>
      <c r="C15" s="4">
        <f t="shared" si="0"/>
        <v>1.1378848728246238</v>
      </c>
      <c r="D15" s="4">
        <f t="shared" si="2"/>
        <v>7.6977904490377558</v>
      </c>
      <c r="E15" s="4">
        <f t="shared" si="1"/>
        <v>10.725301108107633</v>
      </c>
    </row>
    <row r="16" spans="1:5" x14ac:dyDescent="0.45">
      <c r="A16" s="2">
        <v>44713</v>
      </c>
      <c r="B16" s="3">
        <v>152.19999999999999</v>
      </c>
      <c r="C16" s="4">
        <f t="shared" si="0"/>
        <v>0.72799470549305134</v>
      </c>
      <c r="D16" s="4">
        <f t="shared" si="2"/>
        <v>8.1734186211798168</v>
      </c>
      <c r="E16" s="4">
        <f t="shared" si="1"/>
        <v>9.1640950066336213</v>
      </c>
    </row>
    <row r="17" spans="1:5" x14ac:dyDescent="0.45">
      <c r="A17" s="2">
        <v>44743</v>
      </c>
      <c r="B17" s="3">
        <v>152.19999999999999</v>
      </c>
      <c r="C17" s="4">
        <f t="shared" si="0"/>
        <v>0</v>
      </c>
      <c r="D17" s="4">
        <f t="shared" si="2"/>
        <v>7.6379066478076352</v>
      </c>
      <c r="E17" s="4">
        <f t="shared" si="1"/>
        <v>7.7100480969295448</v>
      </c>
    </row>
    <row r="18" spans="1:5" x14ac:dyDescent="0.45">
      <c r="A18" s="2">
        <v>44774</v>
      </c>
      <c r="B18" s="3">
        <v>152.1</v>
      </c>
      <c r="C18" s="4">
        <f t="shared" si="0"/>
        <v>-6.5703022339025363E-2</v>
      </c>
      <c r="D18" s="4">
        <f t="shared" si="2"/>
        <v>6.8868587491215605</v>
      </c>
      <c r="E18" s="4">
        <f t="shared" si="1"/>
        <v>2.6736494313461145</v>
      </c>
    </row>
    <row r="19" spans="1:5" x14ac:dyDescent="0.45">
      <c r="A19" s="2">
        <v>44805</v>
      </c>
      <c r="B19" s="3">
        <v>152.80000000000001</v>
      </c>
      <c r="C19" s="4">
        <f t="shared" si="0"/>
        <v>0.46022353714663122</v>
      </c>
      <c r="D19" s="4">
        <f t="shared" si="2"/>
        <v>6.7784765897973553</v>
      </c>
      <c r="E19" s="4">
        <f t="shared" si="1"/>
        <v>1.5862215423712023</v>
      </c>
    </row>
    <row r="20" spans="1:5" x14ac:dyDescent="0.45">
      <c r="A20" s="2">
        <v>44835</v>
      </c>
      <c r="B20" s="3">
        <v>153.69999999999999</v>
      </c>
      <c r="C20" s="4">
        <f t="shared" si="0"/>
        <v>0.58900523560208029</v>
      </c>
      <c r="D20" s="4">
        <f t="shared" si="2"/>
        <v>6.8102849200833759</v>
      </c>
      <c r="E20" s="4">
        <f t="shared" si="1"/>
        <v>4.0008431641339604</v>
      </c>
    </row>
    <row r="21" spans="1:5" x14ac:dyDescent="0.45">
      <c r="A21" s="2">
        <v>44866</v>
      </c>
      <c r="B21" s="3">
        <v>154.30000000000001</v>
      </c>
      <c r="C21" s="4">
        <f t="shared" si="0"/>
        <v>0.39037085230970714</v>
      </c>
      <c r="D21" s="4">
        <f t="shared" si="2"/>
        <v>6.78200692041524</v>
      </c>
      <c r="E21" s="4">
        <f t="shared" si="1"/>
        <v>5.9124094320338605</v>
      </c>
    </row>
    <row r="22" spans="1:5" x14ac:dyDescent="0.45">
      <c r="A22" s="2">
        <v>44896</v>
      </c>
      <c r="B22" s="3">
        <v>154.19999999999999</v>
      </c>
      <c r="C22" s="4">
        <f t="shared" si="0"/>
        <v>-6.4808813998717962E-2</v>
      </c>
      <c r="D22" s="4">
        <f t="shared" si="2"/>
        <v>6.198347107438007</v>
      </c>
      <c r="E22" s="4">
        <f t="shared" si="1"/>
        <v>3.7155985178861206</v>
      </c>
    </row>
    <row r="23" spans="1:5" x14ac:dyDescent="0.45">
      <c r="A23" s="2">
        <v>44927</v>
      </c>
      <c r="B23" s="3">
        <v>154.9</v>
      </c>
      <c r="C23" s="4">
        <f t="shared" si="0"/>
        <v>0.45395590142673914</v>
      </c>
      <c r="D23" s="4">
        <f t="shared" si="2"/>
        <v>5.8783321941216604</v>
      </c>
      <c r="E23" s="4">
        <f t="shared" si="1"/>
        <v>3.1597310094167552</v>
      </c>
    </row>
    <row r="24" spans="1:5" x14ac:dyDescent="0.45">
      <c r="A24" s="2">
        <v>44958</v>
      </c>
      <c r="B24" s="3">
        <v>155.1</v>
      </c>
      <c r="C24" s="4">
        <f t="shared" si="0"/>
        <v>0.12911555842478606</v>
      </c>
      <c r="D24" s="4">
        <f t="shared" si="2"/>
        <v>5.2953156822810543</v>
      </c>
      <c r="E24" s="4">
        <f t="shared" si="1"/>
        <v>2.0900665688963427</v>
      </c>
    </row>
    <row r="25" spans="1:5" x14ac:dyDescent="0.45">
      <c r="A25" s="2">
        <v>44986</v>
      </c>
      <c r="B25" s="3">
        <v>155.30000000000001</v>
      </c>
      <c r="C25" s="4">
        <f t="shared" si="0"/>
        <v>0.12894906511928816</v>
      </c>
      <c r="D25" s="4">
        <f t="shared" si="2"/>
        <v>4.2981867024848963</v>
      </c>
      <c r="E25" s="4">
        <f t="shared" si="1"/>
        <v>2.8841154469641195</v>
      </c>
    </row>
    <row r="26" spans="1:5" x14ac:dyDescent="0.45">
      <c r="A26" s="2">
        <v>45017</v>
      </c>
      <c r="B26" s="3">
        <v>156.1</v>
      </c>
      <c r="C26" s="4">
        <f t="shared" si="0"/>
        <v>0.51513200257564673</v>
      </c>
      <c r="D26" s="4">
        <f t="shared" si="2"/>
        <v>4.4846050870147147</v>
      </c>
      <c r="E26" s="4">
        <f t="shared" si="1"/>
        <v>3.1349687224376366</v>
      </c>
    </row>
    <row r="27" spans="1:5" x14ac:dyDescent="0.45">
      <c r="A27" s="2">
        <v>45047</v>
      </c>
      <c r="B27" s="3">
        <v>156.19999999999999</v>
      </c>
      <c r="C27" s="4">
        <f t="shared" si="0"/>
        <v>6.4061499039080871E-2</v>
      </c>
      <c r="D27" s="4">
        <f t="shared" si="2"/>
        <v>3.3752481800132239</v>
      </c>
      <c r="E27" s="4">
        <f t="shared" si="1"/>
        <v>2.8672019470529664</v>
      </c>
    </row>
    <row r="28" spans="1:5" x14ac:dyDescent="0.45">
      <c r="A28" s="2">
        <v>45078</v>
      </c>
      <c r="B28" s="3">
        <v>156.6</v>
      </c>
      <c r="C28" s="4">
        <f t="shared" si="0"/>
        <v>0.25608194622279701</v>
      </c>
      <c r="D28" s="4">
        <f t="shared" si="2"/>
        <v>2.890932982917227</v>
      </c>
      <c r="E28" s="4">
        <f t="shared" si="1"/>
        <v>3.3906362637835752</v>
      </c>
    </row>
    <row r="29" spans="1:5" x14ac:dyDescent="0.45">
      <c r="A29" s="2">
        <v>45108</v>
      </c>
      <c r="B29" s="3">
        <v>157.19999999999999</v>
      </c>
      <c r="C29" s="4">
        <f t="shared" si="0"/>
        <v>0.38314176245211051</v>
      </c>
      <c r="D29" s="4">
        <f t="shared" si="2"/>
        <v>3.2851511169513792</v>
      </c>
      <c r="E29" s="4">
        <f t="shared" si="1"/>
        <v>2.8486403097725432</v>
      </c>
    </row>
    <row r="30" spans="1:5" x14ac:dyDescent="0.45">
      <c r="A30" s="2">
        <v>45139</v>
      </c>
      <c r="B30" s="3">
        <v>158.30000000000001</v>
      </c>
      <c r="C30" s="4">
        <f t="shared" si="0"/>
        <v>0.69974554707381564</v>
      </c>
      <c r="D30" s="4">
        <f t="shared" si="2"/>
        <v>4.0762656147271592</v>
      </c>
      <c r="E30" s="4">
        <f t="shared" si="1"/>
        <v>5.4871457133925938</v>
      </c>
    </row>
    <row r="31" spans="1:5" x14ac:dyDescent="0.45">
      <c r="A31" s="2">
        <v>45170</v>
      </c>
      <c r="B31" s="3">
        <v>158.6</v>
      </c>
      <c r="C31" s="4">
        <f t="shared" si="0"/>
        <v>0.18951358180667732</v>
      </c>
      <c r="D31" s="4">
        <f t="shared" si="2"/>
        <v>3.7958115183245988</v>
      </c>
      <c r="E31" s="4">
        <f t="shared" si="1"/>
        <v>5.2072578153707472</v>
      </c>
    </row>
    <row r="32" spans="1:5" x14ac:dyDescent="0.45">
      <c r="A32" s="2">
        <v>45200</v>
      </c>
      <c r="B32" s="3">
        <v>158.5</v>
      </c>
      <c r="C32" s="4">
        <f t="shared" si="0"/>
        <v>-6.3051702395966469E-2</v>
      </c>
      <c r="D32" s="4">
        <f t="shared" si="2"/>
        <v>3.1229668184775683</v>
      </c>
      <c r="E32" s="4">
        <f t="shared" si="1"/>
        <v>3.3491476914874418</v>
      </c>
    </row>
    <row r="33" spans="1:5" x14ac:dyDescent="0.45">
      <c r="A33" s="2">
        <v>45231</v>
      </c>
      <c r="B33" s="3">
        <v>159</v>
      </c>
      <c r="C33" s="4">
        <f t="shared" si="0"/>
        <v>0.3154574132492094</v>
      </c>
      <c r="D33" s="4">
        <f t="shared" si="2"/>
        <v>3.046014257939067</v>
      </c>
      <c r="E33" s="4">
        <f t="shared" si="1"/>
        <v>1.7805604185549884</v>
      </c>
    </row>
    <row r="34" spans="1:5" x14ac:dyDescent="0.45">
      <c r="A34" s="2">
        <v>45261</v>
      </c>
      <c r="B34" s="3">
        <v>159.4</v>
      </c>
      <c r="C34" s="4">
        <f t="shared" si="0"/>
        <v>0.2515723270440251</v>
      </c>
      <c r="D34" s="4">
        <f t="shared" si="2"/>
        <v>3.3722438391699194</v>
      </c>
      <c r="E34" s="4">
        <f t="shared" si="1"/>
        <v>2.032971863167421</v>
      </c>
    </row>
    <row r="35" spans="1:5" x14ac:dyDescent="0.45">
      <c r="A35" s="2">
        <v>45292</v>
      </c>
      <c r="B35" s="3">
        <v>159.4</v>
      </c>
      <c r="C35" s="4">
        <f t="shared" ref="C35:C66" si="3">IFERROR((B35/B34-1)*100,"")</f>
        <v>0</v>
      </c>
      <c r="D35" s="4">
        <f t="shared" si="2"/>
        <v>2.9051000645577751</v>
      </c>
      <c r="E35" s="4">
        <f t="shared" si="1"/>
        <v>2.2907121121422014</v>
      </c>
    </row>
    <row r="36" spans="1:5" x14ac:dyDescent="0.45">
      <c r="A36" s="2">
        <v>45323</v>
      </c>
      <c r="B36" s="3">
        <v>159.4</v>
      </c>
      <c r="C36" s="4">
        <f t="shared" si="3"/>
        <v>0</v>
      </c>
      <c r="D36" s="4">
        <f t="shared" si="2"/>
        <v>2.7724049000644735</v>
      </c>
      <c r="E36" s="4">
        <f t="shared" si="1"/>
        <v>1.0100929989933505</v>
      </c>
    </row>
    <row r="37" spans="1:5" x14ac:dyDescent="0.45">
      <c r="A37" s="2">
        <v>45352</v>
      </c>
      <c r="B37" s="3">
        <v>159.80000000000001</v>
      </c>
      <c r="C37" s="4">
        <f t="shared" si="3"/>
        <v>0.25094102885823144</v>
      </c>
      <c r="D37" s="4">
        <f t="shared" si="2"/>
        <v>2.8976175144880933</v>
      </c>
      <c r="E37" s="4">
        <f t="shared" ref="E37:E68" si="4">IFERROR(((B37/B34)^4-1)*100,"")</f>
        <v>1.0075487242393155</v>
      </c>
    </row>
    <row r="38" spans="1:5" x14ac:dyDescent="0.45">
      <c r="A38" s="2">
        <v>45383</v>
      </c>
      <c r="B38" s="3">
        <v>160.30000000000001</v>
      </c>
      <c r="C38" s="4">
        <f t="shared" si="3"/>
        <v>0.31289111389236623</v>
      </c>
      <c r="D38" s="4">
        <f t="shared" si="2"/>
        <v>2.6905829596412634</v>
      </c>
      <c r="E38" s="4">
        <f t="shared" si="4"/>
        <v>2.2776689224460966</v>
      </c>
    </row>
    <row r="39" spans="1:5" x14ac:dyDescent="0.45">
      <c r="A39" s="2">
        <v>45413</v>
      </c>
      <c r="B39" s="3">
        <v>160.69999999999999</v>
      </c>
      <c r="C39" s="4">
        <f t="shared" si="3"/>
        <v>0.24953212726137597</v>
      </c>
      <c r="D39" s="4">
        <f t="shared" si="2"/>
        <v>2.8809218950063942</v>
      </c>
      <c r="E39" s="4">
        <f t="shared" si="4"/>
        <v>3.3023589249833618</v>
      </c>
    </row>
    <row r="40" spans="1:5" x14ac:dyDescent="0.45">
      <c r="A40" s="2">
        <v>45444</v>
      </c>
      <c r="B40" s="3">
        <v>160.80000000000001</v>
      </c>
      <c r="C40" s="4">
        <f t="shared" si="3"/>
        <v>6.2227753578114609E-2</v>
      </c>
      <c r="D40" s="4">
        <f t="shared" si="2"/>
        <v>2.6819923371647514</v>
      </c>
      <c r="E40" s="4">
        <f t="shared" si="4"/>
        <v>2.52672329166721</v>
      </c>
    </row>
    <row r="41" spans="1:5" x14ac:dyDescent="0.45">
      <c r="A41" s="2">
        <v>45474</v>
      </c>
      <c r="B41" s="3">
        <v>161.19999999999999</v>
      </c>
      <c r="C41" s="4">
        <f t="shared" si="3"/>
        <v>0.24875621890545485</v>
      </c>
      <c r="D41" s="4">
        <f t="shared" si="2"/>
        <v>2.5445292620865034</v>
      </c>
      <c r="E41" s="4">
        <f t="shared" si="4"/>
        <v>2.2647734204898073</v>
      </c>
    </row>
    <row r="42" spans="1:5" x14ac:dyDescent="0.45">
      <c r="A42" s="2">
        <v>45505</v>
      </c>
      <c r="B42" s="3">
        <v>161.30000000000001</v>
      </c>
      <c r="C42" s="4">
        <f t="shared" si="3"/>
        <v>6.2034739454097654E-2</v>
      </c>
      <c r="D42" s="4">
        <f t="shared" si="2"/>
        <v>1.8951358180669509</v>
      </c>
      <c r="E42" s="4">
        <f t="shared" si="4"/>
        <v>1.5018510781681593</v>
      </c>
    </row>
    <row r="43" spans="1:5" x14ac:dyDescent="0.45">
      <c r="A43" s="2">
        <v>45536</v>
      </c>
      <c r="B43" s="3">
        <v>161.19999999999999</v>
      </c>
      <c r="C43" s="4">
        <f t="shared" si="3"/>
        <v>-6.1996280223197697E-2</v>
      </c>
      <c r="D43" s="4">
        <f t="shared" si="2"/>
        <v>1.6393442622950838</v>
      </c>
      <c r="E43" s="4">
        <f t="shared" si="4"/>
        <v>0.99874381601730011</v>
      </c>
    </row>
    <row r="44" spans="1:5" x14ac:dyDescent="0.45">
      <c r="A44" s="2">
        <v>45566</v>
      </c>
      <c r="B44" s="3">
        <v>161.69999999999999</v>
      </c>
      <c r="C44" s="4">
        <f t="shared" si="3"/>
        <v>0.31017369727046606</v>
      </c>
      <c r="D44" s="4">
        <f t="shared" si="2"/>
        <v>2.018927444794949</v>
      </c>
      <c r="E44" s="4">
        <f t="shared" si="4"/>
        <v>1.2464791981284806</v>
      </c>
    </row>
    <row r="45" spans="1:5" x14ac:dyDescent="0.45">
      <c r="A45" s="2">
        <v>45597</v>
      </c>
      <c r="B45" s="3">
        <v>162</v>
      </c>
      <c r="C45" s="4">
        <f t="shared" si="3"/>
        <v>0.18552875695734272</v>
      </c>
      <c r="D45" s="4">
        <f t="shared" si="2"/>
        <v>1.8867924528301883</v>
      </c>
      <c r="E45" s="4">
        <f t="shared" si="4"/>
        <v>1.7472285783940888</v>
      </c>
    </row>
    <row r="46" spans="1:5" x14ac:dyDescent="0.45">
      <c r="A46" s="2">
        <v>45627</v>
      </c>
      <c r="B46" s="3">
        <v>162.30000000000001</v>
      </c>
      <c r="C46" s="4">
        <f t="shared" si="3"/>
        <v>0.18518518518519933</v>
      </c>
      <c r="D46" s="4">
        <f t="shared" ref="D46:D77" si="5">IFERROR((B46/B34-1)*100,"")</f>
        <v>1.8193224592220947</v>
      </c>
      <c r="E46" s="4">
        <f t="shared" si="4"/>
        <v>2.7575945746479036</v>
      </c>
    </row>
    <row r="47" spans="1:5" x14ac:dyDescent="0.45">
      <c r="A47" s="2">
        <v>45658</v>
      </c>
      <c r="B47" s="3">
        <v>162.5</v>
      </c>
      <c r="C47" s="4">
        <f t="shared" si="3"/>
        <v>0.12322858903264233</v>
      </c>
      <c r="D47" s="4">
        <f t="shared" si="5"/>
        <v>1.9447929736511993</v>
      </c>
      <c r="E47" s="4">
        <f t="shared" si="4"/>
        <v>1.993708166038699</v>
      </c>
    </row>
    <row r="48" spans="1:5" x14ac:dyDescent="0.45">
      <c r="A48" s="2">
        <v>45689</v>
      </c>
      <c r="B48" s="3">
        <v>163.5</v>
      </c>
      <c r="C48" s="4">
        <f t="shared" si="3"/>
        <v>0.61538461538461764</v>
      </c>
      <c r="D48" s="4">
        <f t="shared" si="5"/>
        <v>2.5721455457967446</v>
      </c>
      <c r="E48" s="4">
        <f t="shared" si="4"/>
        <v>3.7554623008480892</v>
      </c>
    </row>
    <row r="49" spans="1:5" x14ac:dyDescent="0.45">
      <c r="A49" s="2">
        <v>45717</v>
      </c>
      <c r="B49" s="3">
        <v>163.5</v>
      </c>
      <c r="C49" s="4">
        <f t="shared" si="3"/>
        <v>0</v>
      </c>
      <c r="D49" s="4">
        <f t="shared" si="5"/>
        <v>2.3153942428034924</v>
      </c>
      <c r="E49" s="4">
        <f t="shared" si="4"/>
        <v>2.9904483285400074</v>
      </c>
    </row>
    <row r="50" spans="1:5" x14ac:dyDescent="0.45">
      <c r="A50" s="2">
        <v>45748</v>
      </c>
      <c r="B50" s="3">
        <v>163.1</v>
      </c>
      <c r="C50" s="4">
        <f t="shared" si="3"/>
        <v>-0.24464831804281717</v>
      </c>
      <c r="D50" s="4">
        <f t="shared" si="5"/>
        <v>1.7467248908296762</v>
      </c>
      <c r="E50" s="4">
        <f t="shared" si="4"/>
        <v>1.4851231122594344</v>
      </c>
    </row>
    <row r="51" spans="1:5" x14ac:dyDescent="0.45">
      <c r="A51" s="2">
        <v>45778</v>
      </c>
      <c r="B51" s="3">
        <v>163.5</v>
      </c>
      <c r="C51" s="4">
        <f t="shared" si="3"/>
        <v>0.24524831391785629</v>
      </c>
      <c r="D51" s="4">
        <f t="shared" si="5"/>
        <v>1.7423771001866983</v>
      </c>
      <c r="E51" s="4">
        <f t="shared" si="4"/>
        <v>0</v>
      </c>
    </row>
    <row r="52" spans="1:5" x14ac:dyDescent="0.45">
      <c r="A52" s="2">
        <v>45809</v>
      </c>
      <c r="B52" s="3">
        <v>163.9</v>
      </c>
      <c r="C52" s="4">
        <f t="shared" si="3"/>
        <v>0.24464831804280607</v>
      </c>
      <c r="D52" s="4">
        <f t="shared" si="5"/>
        <v>1.9278606965174028</v>
      </c>
      <c r="E52" s="4">
        <f t="shared" si="4"/>
        <v>0.9821903008795374</v>
      </c>
    </row>
    <row r="53" spans="1:5" x14ac:dyDescent="0.45">
      <c r="A53" s="2">
        <v>45839</v>
      </c>
      <c r="B53" s="3">
        <v>164</v>
      </c>
      <c r="C53" s="4">
        <f t="shared" si="3"/>
        <v>6.1012812690663942E-2</v>
      </c>
      <c r="D53" s="4">
        <f t="shared" si="5"/>
        <v>1.7369727047146455</v>
      </c>
      <c r="E53" s="4">
        <f t="shared" si="4"/>
        <v>2.2255716976002704</v>
      </c>
    </row>
    <row r="54" spans="1:5" x14ac:dyDescent="0.45">
      <c r="A54" s="2">
        <v>45870</v>
      </c>
      <c r="B54" s="3">
        <v>164.3</v>
      </c>
      <c r="C54" s="4">
        <f t="shared" si="3"/>
        <v>0.18292682926830395</v>
      </c>
      <c r="D54" s="4">
        <f t="shared" si="5"/>
        <v>1.8598884066955979</v>
      </c>
      <c r="E54" s="4">
        <f t="shared" si="4"/>
        <v>1.9715981307828701</v>
      </c>
    </row>
    <row r="55" spans="1:5" x14ac:dyDescent="0.45">
      <c r="A55" s="2">
        <v>45901</v>
      </c>
      <c r="B55" s="3">
        <v>165</v>
      </c>
      <c r="C55" s="4">
        <f t="shared" si="3"/>
        <v>0.42604990870358517</v>
      </c>
      <c r="D55" s="4">
        <f t="shared" si="5"/>
        <v>2.3573200992555998</v>
      </c>
      <c r="E55" s="4">
        <f t="shared" si="4"/>
        <v>2.7117106917732947</v>
      </c>
    </row>
    <row r="56" spans="1:5" x14ac:dyDescent="0.45">
      <c r="A56" s="2">
        <v>45931</v>
      </c>
      <c r="B56" s="3">
        <v>165.2</v>
      </c>
      <c r="C56" s="4">
        <f t="shared" si="3"/>
        <v>0.12121212121212199</v>
      </c>
      <c r="D56" s="4">
        <f t="shared" si="5"/>
        <v>2.1645021645021689</v>
      </c>
      <c r="E56" s="4">
        <f t="shared" si="4"/>
        <v>2.9591099919632269</v>
      </c>
    </row>
    <row r="57" spans="1:5" x14ac:dyDescent="0.45">
      <c r="A57" s="2">
        <v>45962</v>
      </c>
      <c r="B57" s="3">
        <v>165.6</v>
      </c>
      <c r="C57" s="4">
        <f t="shared" si="3"/>
        <v>0.2421307506053294</v>
      </c>
      <c r="D57" s="4">
        <f t="shared" si="5"/>
        <v>2.2222222222222143</v>
      </c>
      <c r="E57" s="4">
        <f t="shared" si="4"/>
        <v>3.2027039344914021</v>
      </c>
    </row>
    <row r="58" spans="1:5" x14ac:dyDescent="0.45">
      <c r="A58" s="2">
        <v>45992</v>
      </c>
      <c r="B58" s="3">
        <v>166.1</v>
      </c>
      <c r="C58" s="4">
        <f t="shared" si="3"/>
        <v>0.30193236714974869</v>
      </c>
      <c r="D58" s="4">
        <f t="shared" si="5"/>
        <v>2.3413431916204486</v>
      </c>
      <c r="E58" s="4">
        <f t="shared" si="4"/>
        <v>2.6934520493826941</v>
      </c>
    </row>
    <row r="59" spans="1:5" x14ac:dyDescent="0.45">
      <c r="A59" s="2">
        <v>46023</v>
      </c>
      <c r="B59" s="3">
        <v>166.2</v>
      </c>
      <c r="C59" s="4">
        <f t="shared" si="3"/>
        <v>6.0204695966281641E-2</v>
      </c>
      <c r="D59" s="4">
        <f t="shared" si="5"/>
        <v>2.2769230769230653</v>
      </c>
      <c r="E59" s="4">
        <f t="shared" si="4"/>
        <v>2.4433815996646402</v>
      </c>
    </row>
    <row r="60" spans="1:5" x14ac:dyDescent="0.45">
      <c r="A60" s="2">
        <v>46054</v>
      </c>
      <c r="B60" s="3">
        <v>166.5</v>
      </c>
      <c r="C60" s="4">
        <f t="shared" si="3"/>
        <v>0.18050541516245744</v>
      </c>
      <c r="D60" s="4">
        <f t="shared" si="5"/>
        <v>1.8348623853210899</v>
      </c>
      <c r="E60" s="4">
        <f t="shared" si="4"/>
        <v>2.1916994584927796</v>
      </c>
    </row>
    <row r="61" spans="1:5" x14ac:dyDescent="0.45">
      <c r="A61" s="2">
        <v>46082</v>
      </c>
      <c r="B61" s="3">
        <v>167.3</v>
      </c>
      <c r="C61" s="4">
        <f t="shared" si="3"/>
        <v>0.48048048048048297</v>
      </c>
      <c r="D61" s="4">
        <f t="shared" si="5"/>
        <v>2.3241590214067243</v>
      </c>
      <c r="E61" s="4">
        <f t="shared" si="4"/>
        <v>2.9212931020702326</v>
      </c>
    </row>
    <row r="62" spans="1:5" x14ac:dyDescent="0.45">
      <c r="A62" s="2">
        <v>46113</v>
      </c>
      <c r="B62" s="7">
        <v>167.8</v>
      </c>
      <c r="C62" s="4">
        <f t="shared" si="3"/>
        <v>0.29886431560071092</v>
      </c>
      <c r="D62" s="4">
        <f t="shared" si="5"/>
        <v>2.8816676885346615</v>
      </c>
      <c r="E62" s="4">
        <f t="shared" si="4"/>
        <v>3.9067468959312013</v>
      </c>
    </row>
    <row r="63" spans="1:5" x14ac:dyDescent="0.45">
      <c r="C63" s="4">
        <f t="shared" si="3"/>
        <v>-100</v>
      </c>
      <c r="D63" s="4">
        <f t="shared" si="5"/>
        <v>-100</v>
      </c>
      <c r="E63" s="4">
        <f t="shared" si="4"/>
        <v>-100</v>
      </c>
    </row>
    <row r="64" spans="1:5" x14ac:dyDescent="0.45">
      <c r="C64" s="4" t="str">
        <f t="shared" si="3"/>
        <v/>
      </c>
      <c r="D64" s="4">
        <f t="shared" si="5"/>
        <v>-100</v>
      </c>
      <c r="E64" s="4">
        <f t="shared" si="4"/>
        <v>-100</v>
      </c>
    </row>
    <row r="65" spans="3:5" x14ac:dyDescent="0.45">
      <c r="C65" s="4" t="str">
        <f t="shared" si="3"/>
        <v/>
      </c>
      <c r="D65" s="4">
        <f t="shared" si="5"/>
        <v>-100</v>
      </c>
      <c r="E65" s="4">
        <f t="shared" si="4"/>
        <v>-100</v>
      </c>
    </row>
    <row r="66" spans="3:5" x14ac:dyDescent="0.45">
      <c r="C66" s="4" t="str">
        <f t="shared" si="3"/>
        <v/>
      </c>
      <c r="D66" s="4">
        <f t="shared" si="5"/>
        <v>-100</v>
      </c>
      <c r="E66" s="4" t="str">
        <f t="shared" si="4"/>
        <v/>
      </c>
    </row>
    <row r="67" spans="3:5" x14ac:dyDescent="0.45">
      <c r="C67" s="4" t="str">
        <f t="shared" ref="C67:C98" si="6">IFERROR((B67/B66-1)*100,"")</f>
        <v/>
      </c>
      <c r="D67" s="4">
        <f t="shared" si="5"/>
        <v>-100</v>
      </c>
      <c r="E67" s="4" t="str">
        <f t="shared" si="4"/>
        <v/>
      </c>
    </row>
    <row r="68" spans="3:5" x14ac:dyDescent="0.45">
      <c r="C68" s="4" t="str">
        <f t="shared" si="6"/>
        <v/>
      </c>
      <c r="D68" s="4">
        <f t="shared" si="5"/>
        <v>-100</v>
      </c>
      <c r="E68" s="4" t="str">
        <f t="shared" si="4"/>
        <v/>
      </c>
    </row>
    <row r="69" spans="3:5" x14ac:dyDescent="0.45">
      <c r="C69" s="4" t="str">
        <f t="shared" si="6"/>
        <v/>
      </c>
      <c r="D69" s="4">
        <f t="shared" si="5"/>
        <v>-100</v>
      </c>
      <c r="E69" s="4" t="str">
        <f t="shared" ref="E69:E100" si="7">IFERROR(((B69/B66)^4-1)*100,"")</f>
        <v/>
      </c>
    </row>
    <row r="70" spans="3:5" x14ac:dyDescent="0.45">
      <c r="C70" s="4" t="str">
        <f t="shared" si="6"/>
        <v/>
      </c>
      <c r="D70" s="4">
        <f t="shared" si="5"/>
        <v>-100</v>
      </c>
      <c r="E70" s="4" t="str">
        <f t="shared" si="7"/>
        <v/>
      </c>
    </row>
    <row r="71" spans="3:5" x14ac:dyDescent="0.45">
      <c r="C71" s="4" t="str">
        <f t="shared" si="6"/>
        <v/>
      </c>
      <c r="D71" s="4">
        <f t="shared" si="5"/>
        <v>-100</v>
      </c>
      <c r="E71" s="4" t="str">
        <f t="shared" si="7"/>
        <v/>
      </c>
    </row>
    <row r="72" spans="3:5" x14ac:dyDescent="0.45">
      <c r="C72" s="4" t="str">
        <f t="shared" si="6"/>
        <v/>
      </c>
      <c r="D72" s="4">
        <f t="shared" si="5"/>
        <v>-100</v>
      </c>
      <c r="E72" s="4" t="str">
        <f t="shared" si="7"/>
        <v/>
      </c>
    </row>
    <row r="73" spans="3:5" x14ac:dyDescent="0.45">
      <c r="C73" s="4" t="str">
        <f t="shared" si="6"/>
        <v/>
      </c>
      <c r="D73" s="4">
        <f t="shared" si="5"/>
        <v>-100</v>
      </c>
      <c r="E73" s="4" t="str">
        <f t="shared" si="7"/>
        <v/>
      </c>
    </row>
    <row r="74" spans="3:5" x14ac:dyDescent="0.45">
      <c r="C74" s="4" t="str">
        <f t="shared" si="6"/>
        <v/>
      </c>
      <c r="D74" s="4">
        <f t="shared" si="5"/>
        <v>-100</v>
      </c>
      <c r="E74" s="4" t="str">
        <f t="shared" si="7"/>
        <v/>
      </c>
    </row>
    <row r="75" spans="3:5" x14ac:dyDescent="0.45">
      <c r="C75" s="4" t="str">
        <f t="shared" si="6"/>
        <v/>
      </c>
      <c r="D75" s="4" t="str">
        <f t="shared" si="5"/>
        <v/>
      </c>
      <c r="E75" s="4" t="str">
        <f t="shared" si="7"/>
        <v/>
      </c>
    </row>
    <row r="76" spans="3:5" x14ac:dyDescent="0.45">
      <c r="C76" s="4" t="str">
        <f t="shared" si="6"/>
        <v/>
      </c>
      <c r="D76" s="4" t="str">
        <f t="shared" si="5"/>
        <v/>
      </c>
      <c r="E76" s="4" t="str">
        <f t="shared" si="7"/>
        <v/>
      </c>
    </row>
    <row r="77" spans="3:5" x14ac:dyDescent="0.45">
      <c r="C77" s="4" t="str">
        <f t="shared" si="6"/>
        <v/>
      </c>
      <c r="D77" s="4" t="str">
        <f t="shared" si="5"/>
        <v/>
      </c>
      <c r="E77" s="4" t="str">
        <f t="shared" si="7"/>
        <v/>
      </c>
    </row>
    <row r="78" spans="3:5" x14ac:dyDescent="0.45">
      <c r="C78" s="4" t="str">
        <f t="shared" si="6"/>
        <v/>
      </c>
      <c r="D78" s="4" t="str">
        <f t="shared" ref="D78:D109" si="8">IFERROR((B78/B66-1)*100,"")</f>
        <v/>
      </c>
      <c r="E78" s="4" t="str">
        <f t="shared" si="7"/>
        <v/>
      </c>
    </row>
    <row r="79" spans="3:5" x14ac:dyDescent="0.45">
      <c r="C79" s="4" t="str">
        <f t="shared" si="6"/>
        <v/>
      </c>
      <c r="D79" s="4" t="str">
        <f t="shared" si="8"/>
        <v/>
      </c>
      <c r="E79" s="4" t="str">
        <f t="shared" si="7"/>
        <v/>
      </c>
    </row>
    <row r="80" spans="3:5" x14ac:dyDescent="0.45">
      <c r="C80" s="4" t="str">
        <f t="shared" si="6"/>
        <v/>
      </c>
      <c r="D80" s="4" t="str">
        <f t="shared" si="8"/>
        <v/>
      </c>
      <c r="E80" s="4" t="str">
        <f t="shared" si="7"/>
        <v/>
      </c>
    </row>
    <row r="81" spans="3:5" x14ac:dyDescent="0.45">
      <c r="C81" s="4" t="str">
        <f t="shared" si="6"/>
        <v/>
      </c>
      <c r="D81" s="4" t="str">
        <f t="shared" si="8"/>
        <v/>
      </c>
      <c r="E81" s="4" t="str">
        <f t="shared" si="7"/>
        <v/>
      </c>
    </row>
    <row r="82" spans="3:5" x14ac:dyDescent="0.45">
      <c r="C82" s="4" t="str">
        <f t="shared" si="6"/>
        <v/>
      </c>
      <c r="D82" s="4" t="str">
        <f t="shared" si="8"/>
        <v/>
      </c>
      <c r="E82" s="4" t="str">
        <f t="shared" si="7"/>
        <v/>
      </c>
    </row>
    <row r="83" spans="3:5" x14ac:dyDescent="0.45">
      <c r="C83" s="4" t="str">
        <f t="shared" si="6"/>
        <v/>
      </c>
      <c r="D83" s="4" t="str">
        <f t="shared" si="8"/>
        <v/>
      </c>
      <c r="E83" s="4" t="str">
        <f t="shared" si="7"/>
        <v/>
      </c>
    </row>
    <row r="84" spans="3:5" x14ac:dyDescent="0.45">
      <c r="C84" s="4" t="str">
        <f t="shared" si="6"/>
        <v/>
      </c>
      <c r="D84" s="4" t="str">
        <f t="shared" si="8"/>
        <v/>
      </c>
      <c r="E84" s="4" t="str">
        <f t="shared" si="7"/>
        <v/>
      </c>
    </row>
    <row r="85" spans="3:5" x14ac:dyDescent="0.45">
      <c r="C85" s="4" t="str">
        <f t="shared" si="6"/>
        <v/>
      </c>
      <c r="D85" s="4" t="str">
        <f t="shared" si="8"/>
        <v/>
      </c>
      <c r="E85" s="4" t="str">
        <f t="shared" si="7"/>
        <v/>
      </c>
    </row>
    <row r="86" spans="3:5" x14ac:dyDescent="0.45">
      <c r="C86" s="4" t="str">
        <f t="shared" si="6"/>
        <v/>
      </c>
      <c r="D86" s="4" t="str">
        <f t="shared" si="8"/>
        <v/>
      </c>
      <c r="E86" s="4" t="str">
        <f t="shared" si="7"/>
        <v/>
      </c>
    </row>
    <row r="87" spans="3:5" x14ac:dyDescent="0.45">
      <c r="C87" s="4" t="str">
        <f t="shared" si="6"/>
        <v/>
      </c>
      <c r="D87" s="4" t="str">
        <f t="shared" si="8"/>
        <v/>
      </c>
      <c r="E87" s="4" t="str">
        <f t="shared" si="7"/>
        <v/>
      </c>
    </row>
    <row r="88" spans="3:5" x14ac:dyDescent="0.45">
      <c r="C88" s="4" t="str">
        <f t="shared" si="6"/>
        <v/>
      </c>
      <c r="D88" s="4" t="str">
        <f t="shared" si="8"/>
        <v/>
      </c>
      <c r="E88" s="4" t="str">
        <f t="shared" si="7"/>
        <v/>
      </c>
    </row>
    <row r="89" spans="3:5" x14ac:dyDescent="0.45">
      <c r="C89" s="4" t="str">
        <f t="shared" si="6"/>
        <v/>
      </c>
      <c r="D89" s="4" t="str">
        <f t="shared" si="8"/>
        <v/>
      </c>
      <c r="E89" s="4" t="str">
        <f t="shared" si="7"/>
        <v/>
      </c>
    </row>
    <row r="90" spans="3:5" x14ac:dyDescent="0.45">
      <c r="C90" s="4" t="str">
        <f t="shared" si="6"/>
        <v/>
      </c>
      <c r="D90" s="4" t="str">
        <f t="shared" si="8"/>
        <v/>
      </c>
      <c r="E90" s="4" t="str">
        <f t="shared" si="7"/>
        <v/>
      </c>
    </row>
    <row r="91" spans="3:5" x14ac:dyDescent="0.45">
      <c r="C91" s="4" t="str">
        <f t="shared" si="6"/>
        <v/>
      </c>
      <c r="D91" s="4" t="str">
        <f t="shared" si="8"/>
        <v/>
      </c>
      <c r="E91" s="4" t="str">
        <f t="shared" si="7"/>
        <v/>
      </c>
    </row>
    <row r="92" spans="3:5" x14ac:dyDescent="0.45">
      <c r="C92" s="4" t="str">
        <f t="shared" si="6"/>
        <v/>
      </c>
      <c r="D92" s="4" t="str">
        <f t="shared" si="8"/>
        <v/>
      </c>
      <c r="E92" s="4" t="str">
        <f t="shared" si="7"/>
        <v/>
      </c>
    </row>
    <row r="93" spans="3:5" x14ac:dyDescent="0.45">
      <c r="C93" s="4" t="str">
        <f t="shared" si="6"/>
        <v/>
      </c>
      <c r="D93" s="4" t="str">
        <f t="shared" si="8"/>
        <v/>
      </c>
      <c r="E93" s="4" t="str">
        <f t="shared" si="7"/>
        <v/>
      </c>
    </row>
    <row r="94" spans="3:5" x14ac:dyDescent="0.45">
      <c r="C94" s="4" t="str">
        <f t="shared" si="6"/>
        <v/>
      </c>
      <c r="D94" s="4" t="str">
        <f t="shared" si="8"/>
        <v/>
      </c>
      <c r="E94" s="4" t="str">
        <f t="shared" si="7"/>
        <v/>
      </c>
    </row>
    <row r="95" spans="3:5" x14ac:dyDescent="0.45">
      <c r="C95" s="4" t="str">
        <f t="shared" si="6"/>
        <v/>
      </c>
      <c r="D95" s="4" t="str">
        <f t="shared" si="8"/>
        <v/>
      </c>
      <c r="E95" s="4" t="str">
        <f t="shared" si="7"/>
        <v/>
      </c>
    </row>
    <row r="96" spans="3:5" x14ac:dyDescent="0.45">
      <c r="C96" s="4" t="str">
        <f t="shared" si="6"/>
        <v/>
      </c>
      <c r="D96" s="4" t="str">
        <f t="shared" si="8"/>
        <v/>
      </c>
      <c r="E96" s="4" t="str">
        <f t="shared" si="7"/>
        <v/>
      </c>
    </row>
    <row r="97" spans="3:5" x14ac:dyDescent="0.45">
      <c r="C97" s="4" t="str">
        <f t="shared" si="6"/>
        <v/>
      </c>
      <c r="D97" s="4" t="str">
        <f t="shared" si="8"/>
        <v/>
      </c>
      <c r="E97" s="4" t="str">
        <f t="shared" si="7"/>
        <v/>
      </c>
    </row>
    <row r="98" spans="3:5" x14ac:dyDescent="0.45">
      <c r="C98" s="4" t="str">
        <f t="shared" si="6"/>
        <v/>
      </c>
      <c r="D98" s="4" t="str">
        <f t="shared" si="8"/>
        <v/>
      </c>
      <c r="E98" s="4" t="str">
        <f t="shared" si="7"/>
        <v/>
      </c>
    </row>
    <row r="99" spans="3:5" x14ac:dyDescent="0.45">
      <c r="C99" s="4" t="str">
        <f t="shared" ref="C99:C121" si="9">IFERROR((B99/B98-1)*100,"")</f>
        <v/>
      </c>
      <c r="D99" s="4" t="str">
        <f t="shared" si="8"/>
        <v/>
      </c>
      <c r="E99" s="4" t="str">
        <f t="shared" si="7"/>
        <v/>
      </c>
    </row>
    <row r="100" spans="3:5" x14ac:dyDescent="0.45">
      <c r="C100" s="4" t="str">
        <f t="shared" si="9"/>
        <v/>
      </c>
      <c r="D100" s="4" t="str">
        <f t="shared" si="8"/>
        <v/>
      </c>
      <c r="E100" s="4" t="str">
        <f t="shared" si="7"/>
        <v/>
      </c>
    </row>
    <row r="101" spans="3:5" x14ac:dyDescent="0.45">
      <c r="C101" s="4" t="str">
        <f t="shared" si="9"/>
        <v/>
      </c>
      <c r="D101" s="4" t="str">
        <f t="shared" si="8"/>
        <v/>
      </c>
      <c r="E101" s="4" t="str">
        <f t="shared" ref="E101:E121" si="10">IFERROR(((B101/B98)^4-1)*100,"")</f>
        <v/>
      </c>
    </row>
    <row r="102" spans="3:5" x14ac:dyDescent="0.45">
      <c r="C102" s="4" t="str">
        <f t="shared" si="9"/>
        <v/>
      </c>
      <c r="D102" s="4" t="str">
        <f t="shared" si="8"/>
        <v/>
      </c>
      <c r="E102" s="4" t="str">
        <f t="shared" si="10"/>
        <v/>
      </c>
    </row>
    <row r="103" spans="3:5" x14ac:dyDescent="0.45">
      <c r="C103" s="4" t="str">
        <f t="shared" si="9"/>
        <v/>
      </c>
      <c r="D103" s="4" t="str">
        <f t="shared" si="8"/>
        <v/>
      </c>
      <c r="E103" s="4" t="str">
        <f t="shared" si="10"/>
        <v/>
      </c>
    </row>
    <row r="104" spans="3:5" x14ac:dyDescent="0.45">
      <c r="C104" s="4" t="str">
        <f t="shared" si="9"/>
        <v/>
      </c>
      <c r="D104" s="4" t="str">
        <f t="shared" si="8"/>
        <v/>
      </c>
      <c r="E104" s="4" t="str">
        <f t="shared" si="10"/>
        <v/>
      </c>
    </row>
    <row r="105" spans="3:5" x14ac:dyDescent="0.45">
      <c r="C105" s="4" t="str">
        <f t="shared" si="9"/>
        <v/>
      </c>
      <c r="D105" s="4" t="str">
        <f t="shared" si="8"/>
        <v/>
      </c>
      <c r="E105" s="4" t="str">
        <f t="shared" si="10"/>
        <v/>
      </c>
    </row>
    <row r="106" spans="3:5" x14ac:dyDescent="0.45">
      <c r="C106" s="4" t="str">
        <f t="shared" si="9"/>
        <v/>
      </c>
      <c r="D106" s="4" t="str">
        <f t="shared" si="8"/>
        <v/>
      </c>
      <c r="E106" s="4" t="str">
        <f t="shared" si="10"/>
        <v/>
      </c>
    </row>
    <row r="107" spans="3:5" x14ac:dyDescent="0.45">
      <c r="C107" s="4" t="str">
        <f t="shared" si="9"/>
        <v/>
      </c>
      <c r="D107" s="4" t="str">
        <f t="shared" si="8"/>
        <v/>
      </c>
      <c r="E107" s="4" t="str">
        <f t="shared" si="10"/>
        <v/>
      </c>
    </row>
    <row r="108" spans="3:5" x14ac:dyDescent="0.45">
      <c r="C108" s="4" t="str">
        <f t="shared" si="9"/>
        <v/>
      </c>
      <c r="D108" s="4" t="str">
        <f t="shared" si="8"/>
        <v/>
      </c>
      <c r="E108" s="4" t="str">
        <f t="shared" si="10"/>
        <v/>
      </c>
    </row>
    <row r="109" spans="3:5" x14ac:dyDescent="0.45">
      <c r="C109" s="4" t="str">
        <f t="shared" si="9"/>
        <v/>
      </c>
      <c r="D109" s="4" t="str">
        <f t="shared" si="8"/>
        <v/>
      </c>
      <c r="E109" s="4" t="str">
        <f t="shared" si="10"/>
        <v/>
      </c>
    </row>
    <row r="110" spans="3:5" x14ac:dyDescent="0.45">
      <c r="C110" s="4" t="str">
        <f t="shared" si="9"/>
        <v/>
      </c>
      <c r="D110" s="4" t="str">
        <f t="shared" ref="D110:D141" si="11">IFERROR((B110/B98-1)*100,"")</f>
        <v/>
      </c>
      <c r="E110" s="4" t="str">
        <f t="shared" si="10"/>
        <v/>
      </c>
    </row>
    <row r="111" spans="3:5" x14ac:dyDescent="0.45">
      <c r="C111" s="4" t="str">
        <f t="shared" si="9"/>
        <v/>
      </c>
      <c r="D111" s="4" t="str">
        <f t="shared" si="11"/>
        <v/>
      </c>
      <c r="E111" s="4" t="str">
        <f t="shared" si="10"/>
        <v/>
      </c>
    </row>
    <row r="112" spans="3:5" x14ac:dyDescent="0.45">
      <c r="C112" s="4" t="str">
        <f t="shared" si="9"/>
        <v/>
      </c>
      <c r="D112" s="4" t="str">
        <f t="shared" si="11"/>
        <v/>
      </c>
      <c r="E112" s="4" t="str">
        <f t="shared" si="10"/>
        <v/>
      </c>
    </row>
    <row r="113" spans="1:5" x14ac:dyDescent="0.45">
      <c r="C113" s="4" t="str">
        <f t="shared" si="9"/>
        <v/>
      </c>
      <c r="D113" s="4" t="str">
        <f t="shared" si="11"/>
        <v/>
      </c>
      <c r="E113" s="4" t="str">
        <f t="shared" si="10"/>
        <v/>
      </c>
    </row>
    <row r="114" spans="1:5" x14ac:dyDescent="0.45">
      <c r="C114" s="4" t="str">
        <f t="shared" si="9"/>
        <v/>
      </c>
      <c r="D114" s="4" t="str">
        <f t="shared" si="11"/>
        <v/>
      </c>
      <c r="E114" s="4" t="str">
        <f t="shared" si="10"/>
        <v/>
      </c>
    </row>
    <row r="115" spans="1:5" x14ac:dyDescent="0.45">
      <c r="C115" s="4" t="str">
        <f t="shared" si="9"/>
        <v/>
      </c>
      <c r="D115" s="4" t="str">
        <f t="shared" si="11"/>
        <v/>
      </c>
      <c r="E115" s="4" t="str">
        <f t="shared" si="10"/>
        <v/>
      </c>
    </row>
    <row r="116" spans="1:5" x14ac:dyDescent="0.45">
      <c r="C116" s="4" t="str">
        <f t="shared" si="9"/>
        <v/>
      </c>
      <c r="D116" s="4" t="str">
        <f t="shared" si="11"/>
        <v/>
      </c>
      <c r="E116" s="4" t="str">
        <f t="shared" si="10"/>
        <v/>
      </c>
    </row>
    <row r="117" spans="1:5" x14ac:dyDescent="0.45">
      <c r="C117" s="4" t="str">
        <f t="shared" si="9"/>
        <v/>
      </c>
      <c r="D117" s="4" t="str">
        <f t="shared" si="11"/>
        <v/>
      </c>
      <c r="E117" s="4" t="str">
        <f t="shared" si="10"/>
        <v/>
      </c>
    </row>
    <row r="118" spans="1:5" x14ac:dyDescent="0.45">
      <c r="C118" s="4" t="str">
        <f t="shared" si="9"/>
        <v/>
      </c>
      <c r="D118" s="4" t="str">
        <f t="shared" si="11"/>
        <v/>
      </c>
      <c r="E118" s="4" t="str">
        <f t="shared" si="10"/>
        <v/>
      </c>
    </row>
    <row r="119" spans="1:5" x14ac:dyDescent="0.45">
      <c r="C119" s="4" t="str">
        <f t="shared" si="9"/>
        <v/>
      </c>
      <c r="D119" s="4" t="str">
        <f t="shared" si="11"/>
        <v/>
      </c>
      <c r="E119" s="4" t="str">
        <f t="shared" si="10"/>
        <v/>
      </c>
    </row>
    <row r="120" spans="1:5" x14ac:dyDescent="0.45">
      <c r="C120" s="4" t="str">
        <f t="shared" si="9"/>
        <v/>
      </c>
      <c r="D120" s="4" t="str">
        <f t="shared" si="11"/>
        <v/>
      </c>
      <c r="E120" s="4" t="str">
        <f t="shared" si="10"/>
        <v/>
      </c>
    </row>
    <row r="121" spans="1:5" x14ac:dyDescent="0.45">
      <c r="C121" s="4" t="str">
        <f t="shared" si="9"/>
        <v/>
      </c>
      <c r="D121" s="4" t="str">
        <f t="shared" si="11"/>
        <v/>
      </c>
      <c r="E121" s="4" t="str">
        <f t="shared" si="10"/>
        <v/>
      </c>
    </row>
    <row r="124" spans="1:5" x14ac:dyDescent="0.45">
      <c r="A124" s="5" t="s">
        <v>3</v>
      </c>
    </row>
    <row r="125" spans="1:5" x14ac:dyDescent="0.45">
      <c r="A125" s="5" t="s">
        <v>4</v>
      </c>
    </row>
    <row r="127" spans="1:5" x14ac:dyDescent="0.45">
      <c r="A127" s="5" t="s">
        <v>5</v>
      </c>
    </row>
    <row r="129" spans="1:1" x14ac:dyDescent="0.45">
      <c r="A129" s="5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58D8-2EEB-4025-B95B-DC1CA1B137BB}">
  <dimension ref="A1:B62"/>
  <sheetViews>
    <sheetView workbookViewId="0">
      <selection activeCell="A2" sqref="A2"/>
    </sheetView>
  </sheetViews>
  <sheetFormatPr defaultRowHeight="14.25" x14ac:dyDescent="0.45"/>
  <cols>
    <col min="1" max="1" width="9.9296875" bestFit="1" customWidth="1"/>
  </cols>
  <sheetData>
    <row r="1" spans="1:2" x14ac:dyDescent="0.45">
      <c r="A1" t="s">
        <v>25</v>
      </c>
      <c r="B1" t="s">
        <v>26</v>
      </c>
    </row>
    <row r="2" spans="1:2" x14ac:dyDescent="0.45">
      <c r="A2" s="8">
        <v>44287</v>
      </c>
      <c r="B2">
        <v>139.9</v>
      </c>
    </row>
    <row r="3" spans="1:2" x14ac:dyDescent="0.45">
      <c r="A3" s="8">
        <v>44317</v>
      </c>
      <c r="B3">
        <v>140.30000000000001</v>
      </c>
    </row>
    <row r="4" spans="1:2" x14ac:dyDescent="0.45">
      <c r="A4" s="8">
        <v>44348</v>
      </c>
      <c r="B4">
        <v>140.69999999999999</v>
      </c>
    </row>
    <row r="5" spans="1:2" x14ac:dyDescent="0.45">
      <c r="A5" s="8">
        <v>44378</v>
      </c>
      <c r="B5">
        <v>141.4</v>
      </c>
    </row>
    <row r="6" spans="1:2" x14ac:dyDescent="0.45">
      <c r="A6" s="8">
        <v>44409</v>
      </c>
      <c r="B6">
        <v>142.30000000000001</v>
      </c>
    </row>
    <row r="7" spans="1:2" x14ac:dyDescent="0.45">
      <c r="A7" s="8">
        <v>44440</v>
      </c>
      <c r="B7">
        <v>143.1</v>
      </c>
    </row>
    <row r="8" spans="1:2" x14ac:dyDescent="0.45">
      <c r="A8" s="8">
        <v>44470</v>
      </c>
      <c r="B8">
        <v>143.9</v>
      </c>
    </row>
    <row r="9" spans="1:2" x14ac:dyDescent="0.45">
      <c r="A9" s="8">
        <v>44501</v>
      </c>
      <c r="B9">
        <v>144.5</v>
      </c>
    </row>
    <row r="10" spans="1:2" x14ac:dyDescent="0.45">
      <c r="A10" s="8">
        <v>44531</v>
      </c>
      <c r="B10">
        <v>145.19999999999999</v>
      </c>
    </row>
    <row r="11" spans="1:2" x14ac:dyDescent="0.45">
      <c r="A11" s="8">
        <v>44562</v>
      </c>
      <c r="B11">
        <v>146.30000000000001</v>
      </c>
    </row>
    <row r="12" spans="1:2" x14ac:dyDescent="0.45">
      <c r="A12" s="8">
        <v>44593</v>
      </c>
      <c r="B12">
        <v>147.30000000000001</v>
      </c>
    </row>
    <row r="13" spans="1:2" x14ac:dyDescent="0.45">
      <c r="A13" s="8">
        <v>44621</v>
      </c>
      <c r="B13">
        <v>148.9</v>
      </c>
    </row>
    <row r="14" spans="1:2" x14ac:dyDescent="0.45">
      <c r="A14" s="8">
        <v>44652</v>
      </c>
      <c r="B14">
        <v>149.4</v>
      </c>
    </row>
    <row r="15" spans="1:2" x14ac:dyDescent="0.45">
      <c r="A15" s="8">
        <v>44682</v>
      </c>
      <c r="B15">
        <v>151.1</v>
      </c>
    </row>
    <row r="16" spans="1:2" x14ac:dyDescent="0.45">
      <c r="A16" s="8">
        <v>44713</v>
      </c>
      <c r="B16">
        <v>152.19999999999999</v>
      </c>
    </row>
    <row r="17" spans="1:2" x14ac:dyDescent="0.45">
      <c r="A17" s="8">
        <v>44743</v>
      </c>
      <c r="B17">
        <v>152.19999999999999</v>
      </c>
    </row>
    <row r="18" spans="1:2" x14ac:dyDescent="0.45">
      <c r="A18" s="8">
        <v>44774</v>
      </c>
      <c r="B18">
        <v>152.1</v>
      </c>
    </row>
    <row r="19" spans="1:2" x14ac:dyDescent="0.45">
      <c r="A19" s="8">
        <v>44805</v>
      </c>
      <c r="B19">
        <v>152.80000000000001</v>
      </c>
    </row>
    <row r="20" spans="1:2" x14ac:dyDescent="0.45">
      <c r="A20" s="8">
        <v>44835</v>
      </c>
      <c r="B20">
        <v>153.69999999999999</v>
      </c>
    </row>
    <row r="21" spans="1:2" x14ac:dyDescent="0.45">
      <c r="A21" s="8">
        <v>44866</v>
      </c>
      <c r="B21">
        <v>154.30000000000001</v>
      </c>
    </row>
    <row r="22" spans="1:2" x14ac:dyDescent="0.45">
      <c r="A22" s="8">
        <v>44896</v>
      </c>
      <c r="B22">
        <v>154.19999999999999</v>
      </c>
    </row>
    <row r="23" spans="1:2" x14ac:dyDescent="0.45">
      <c r="A23" s="8">
        <v>44927</v>
      </c>
      <c r="B23">
        <v>154.9</v>
      </c>
    </row>
    <row r="24" spans="1:2" x14ac:dyDescent="0.45">
      <c r="A24" s="8">
        <v>44958</v>
      </c>
      <c r="B24">
        <v>155.1</v>
      </c>
    </row>
    <row r="25" spans="1:2" x14ac:dyDescent="0.45">
      <c r="A25" s="8">
        <v>44986</v>
      </c>
      <c r="B25">
        <v>155.30000000000001</v>
      </c>
    </row>
    <row r="26" spans="1:2" x14ac:dyDescent="0.45">
      <c r="A26" s="8">
        <v>45017</v>
      </c>
      <c r="B26">
        <v>156.1</v>
      </c>
    </row>
    <row r="27" spans="1:2" x14ac:dyDescent="0.45">
      <c r="A27" s="8">
        <v>45047</v>
      </c>
      <c r="B27">
        <v>156.19999999999999</v>
      </c>
    </row>
    <row r="28" spans="1:2" x14ac:dyDescent="0.45">
      <c r="A28" s="8">
        <v>45078</v>
      </c>
      <c r="B28">
        <v>156.6</v>
      </c>
    </row>
    <row r="29" spans="1:2" x14ac:dyDescent="0.45">
      <c r="A29" s="8">
        <v>45108</v>
      </c>
      <c r="B29">
        <v>157.19999999999999</v>
      </c>
    </row>
    <row r="30" spans="1:2" x14ac:dyDescent="0.45">
      <c r="A30" s="8">
        <v>45139</v>
      </c>
      <c r="B30">
        <v>158.30000000000001</v>
      </c>
    </row>
    <row r="31" spans="1:2" x14ac:dyDescent="0.45">
      <c r="A31" s="8">
        <v>45170</v>
      </c>
      <c r="B31">
        <v>158.6</v>
      </c>
    </row>
    <row r="32" spans="1:2" x14ac:dyDescent="0.45">
      <c r="A32" s="8">
        <v>45200</v>
      </c>
      <c r="B32">
        <v>158.5</v>
      </c>
    </row>
    <row r="33" spans="1:2" x14ac:dyDescent="0.45">
      <c r="A33" s="8">
        <v>45231</v>
      </c>
      <c r="B33">
        <v>159</v>
      </c>
    </row>
    <row r="34" spans="1:2" x14ac:dyDescent="0.45">
      <c r="A34" s="8">
        <v>45261</v>
      </c>
      <c r="B34">
        <v>159.4</v>
      </c>
    </row>
    <row r="35" spans="1:2" x14ac:dyDescent="0.45">
      <c r="A35" s="8">
        <v>45292</v>
      </c>
      <c r="B35">
        <v>159.4</v>
      </c>
    </row>
    <row r="36" spans="1:2" x14ac:dyDescent="0.45">
      <c r="A36" s="8">
        <v>45323</v>
      </c>
      <c r="B36">
        <v>159.4</v>
      </c>
    </row>
    <row r="37" spans="1:2" x14ac:dyDescent="0.45">
      <c r="A37" s="8">
        <v>45352</v>
      </c>
      <c r="B37">
        <v>159.80000000000001</v>
      </c>
    </row>
    <row r="38" spans="1:2" x14ac:dyDescent="0.45">
      <c r="A38" s="8">
        <v>45383</v>
      </c>
      <c r="B38">
        <v>160.30000000000001</v>
      </c>
    </row>
    <row r="39" spans="1:2" x14ac:dyDescent="0.45">
      <c r="A39" s="8">
        <v>45413</v>
      </c>
      <c r="B39">
        <v>160.69999999999999</v>
      </c>
    </row>
    <row r="40" spans="1:2" x14ac:dyDescent="0.45">
      <c r="A40" s="8">
        <v>45444</v>
      </c>
      <c r="B40">
        <v>160.80000000000001</v>
      </c>
    </row>
    <row r="41" spans="1:2" x14ac:dyDescent="0.45">
      <c r="A41" s="8">
        <v>45474</v>
      </c>
      <c r="B41">
        <v>161.19999999999999</v>
      </c>
    </row>
    <row r="42" spans="1:2" x14ac:dyDescent="0.45">
      <c r="A42" s="8">
        <v>45505</v>
      </c>
      <c r="B42">
        <v>161.30000000000001</v>
      </c>
    </row>
    <row r="43" spans="1:2" x14ac:dyDescent="0.45">
      <c r="A43" s="8">
        <v>45536</v>
      </c>
      <c r="B43">
        <v>161.19999999999999</v>
      </c>
    </row>
    <row r="44" spans="1:2" x14ac:dyDescent="0.45">
      <c r="A44" s="8">
        <v>45566</v>
      </c>
      <c r="B44">
        <v>161.69999999999999</v>
      </c>
    </row>
    <row r="45" spans="1:2" x14ac:dyDescent="0.45">
      <c r="A45" s="8">
        <v>45597</v>
      </c>
      <c r="B45">
        <v>162</v>
      </c>
    </row>
    <row r="46" spans="1:2" x14ac:dyDescent="0.45">
      <c r="A46" s="8">
        <v>45627</v>
      </c>
      <c r="B46">
        <v>162.30000000000001</v>
      </c>
    </row>
    <row r="47" spans="1:2" x14ac:dyDescent="0.45">
      <c r="A47" s="8">
        <v>45658</v>
      </c>
      <c r="B47">
        <v>162.5</v>
      </c>
    </row>
    <row r="48" spans="1:2" x14ac:dyDescent="0.45">
      <c r="A48" s="8">
        <v>45689</v>
      </c>
      <c r="B48">
        <v>163.5</v>
      </c>
    </row>
    <row r="49" spans="1:2" x14ac:dyDescent="0.45">
      <c r="A49" s="8">
        <v>45717</v>
      </c>
      <c r="B49">
        <v>163.5</v>
      </c>
    </row>
    <row r="50" spans="1:2" x14ac:dyDescent="0.45">
      <c r="A50" s="8">
        <v>45748</v>
      </c>
      <c r="B50">
        <v>163.1</v>
      </c>
    </row>
    <row r="51" spans="1:2" x14ac:dyDescent="0.45">
      <c r="A51" s="8">
        <v>45778</v>
      </c>
      <c r="B51">
        <v>163.5</v>
      </c>
    </row>
    <row r="52" spans="1:2" x14ac:dyDescent="0.45">
      <c r="A52" s="8">
        <v>45809</v>
      </c>
      <c r="B52">
        <v>163.9</v>
      </c>
    </row>
    <row r="53" spans="1:2" x14ac:dyDescent="0.45">
      <c r="A53" s="8">
        <v>45839</v>
      </c>
      <c r="B53">
        <v>164</v>
      </c>
    </row>
    <row r="54" spans="1:2" x14ac:dyDescent="0.45">
      <c r="A54" s="8">
        <v>45870</v>
      </c>
      <c r="B54">
        <v>164.3</v>
      </c>
    </row>
    <row r="55" spans="1:2" x14ac:dyDescent="0.45">
      <c r="A55" s="8">
        <v>45901</v>
      </c>
      <c r="B55">
        <v>165</v>
      </c>
    </row>
    <row r="56" spans="1:2" x14ac:dyDescent="0.45">
      <c r="A56" s="8">
        <v>45931</v>
      </c>
      <c r="B56">
        <v>165.2</v>
      </c>
    </row>
    <row r="57" spans="1:2" x14ac:dyDescent="0.45">
      <c r="A57" s="8">
        <v>45962</v>
      </c>
      <c r="B57">
        <v>165.6</v>
      </c>
    </row>
    <row r="58" spans="1:2" x14ac:dyDescent="0.45">
      <c r="A58" s="8">
        <v>45992</v>
      </c>
      <c r="B58">
        <v>166.1</v>
      </c>
    </row>
    <row r="59" spans="1:2" x14ac:dyDescent="0.45">
      <c r="A59" s="8">
        <v>46023</v>
      </c>
      <c r="B59">
        <v>166.2</v>
      </c>
    </row>
    <row r="60" spans="1:2" x14ac:dyDescent="0.45">
      <c r="A60" s="8">
        <v>46054</v>
      </c>
      <c r="B60">
        <v>166.5</v>
      </c>
    </row>
    <row r="61" spans="1:2" x14ac:dyDescent="0.45">
      <c r="A61" s="8">
        <v>46082</v>
      </c>
      <c r="B61">
        <v>167.3</v>
      </c>
    </row>
    <row r="62" spans="1:2" x14ac:dyDescent="0.45">
      <c r="A62" s="8">
        <v>46113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0DDF-7FC2-4CC3-BFD5-03A094F1138C}">
  <dimension ref="A1:Q64"/>
  <sheetViews>
    <sheetView workbookViewId="0"/>
  </sheetViews>
  <sheetFormatPr defaultRowHeight="14.25" x14ac:dyDescent="0.45"/>
  <sheetData>
    <row r="1" spans="1:17" x14ac:dyDescent="0.45">
      <c r="A1" t="s">
        <v>7</v>
      </c>
      <c r="B1" t="s">
        <v>24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 x14ac:dyDescent="0.45">
      <c r="A2" t="s">
        <v>8</v>
      </c>
      <c r="B2" s="6">
        <v>44197</v>
      </c>
      <c r="C2">
        <v>138.19999999999999</v>
      </c>
      <c r="D2">
        <v>155</v>
      </c>
      <c r="E2">
        <v>148.4</v>
      </c>
      <c r="F2">
        <v>124.3</v>
      </c>
      <c r="G2">
        <v>91.9</v>
      </c>
      <c r="H2">
        <v>144.9</v>
      </c>
      <c r="I2">
        <v>160.9</v>
      </c>
      <c r="J2">
        <v>130.30000000000001</v>
      </c>
      <c r="K2">
        <v>116.3</v>
      </c>
      <c r="L2">
        <v>172.5</v>
      </c>
      <c r="M2">
        <v>132.80000000000001</v>
      </c>
      <c r="N2">
        <v>136.69999999999999</v>
      </c>
      <c r="O2">
        <v>154.30000000000001</v>
      </c>
      <c r="P2">
        <v>123.8</v>
      </c>
      <c r="Q2">
        <v>152.5</v>
      </c>
    </row>
    <row r="3" spans="1:17" x14ac:dyDescent="0.45">
      <c r="B3" s="6">
        <v>44228</v>
      </c>
      <c r="C3">
        <v>138.9</v>
      </c>
      <c r="D3">
        <v>155.6</v>
      </c>
      <c r="E3">
        <v>148.80000000000001</v>
      </c>
      <c r="F3">
        <v>124.3</v>
      </c>
      <c r="G3">
        <v>92.7</v>
      </c>
      <c r="H3">
        <v>147.1</v>
      </c>
      <c r="I3">
        <v>171.3</v>
      </c>
      <c r="J3">
        <v>130.5</v>
      </c>
      <c r="K3">
        <v>116.1</v>
      </c>
      <c r="L3">
        <v>173.2</v>
      </c>
      <c r="M3">
        <v>133.1</v>
      </c>
      <c r="N3">
        <v>137.1</v>
      </c>
      <c r="O3">
        <v>160.4</v>
      </c>
      <c r="P3">
        <v>125.2</v>
      </c>
      <c r="Q3">
        <v>152.6</v>
      </c>
    </row>
    <row r="4" spans="1:17" x14ac:dyDescent="0.45">
      <c r="B4" s="6">
        <v>44256</v>
      </c>
      <c r="C4">
        <v>139.6</v>
      </c>
      <c r="D4">
        <v>155.5</v>
      </c>
      <c r="E4">
        <v>150</v>
      </c>
      <c r="F4">
        <v>123.5</v>
      </c>
      <c r="G4">
        <v>93.7</v>
      </c>
      <c r="H4">
        <v>148.80000000000001</v>
      </c>
      <c r="I4">
        <v>181.3</v>
      </c>
      <c r="J4">
        <v>130.5</v>
      </c>
      <c r="K4">
        <v>116.4</v>
      </c>
      <c r="L4">
        <v>173.6</v>
      </c>
      <c r="M4">
        <v>133.4</v>
      </c>
      <c r="N4">
        <v>137.30000000000001</v>
      </c>
      <c r="O4">
        <v>167.4</v>
      </c>
      <c r="P4">
        <v>126.2</v>
      </c>
      <c r="Q4">
        <v>152.9</v>
      </c>
    </row>
    <row r="5" spans="1:17" x14ac:dyDescent="0.45">
      <c r="B5" s="6">
        <v>44287</v>
      </c>
      <c r="C5">
        <v>140.30000000000001</v>
      </c>
      <c r="D5">
        <v>155.4</v>
      </c>
      <c r="E5">
        <v>150.69999999999999</v>
      </c>
      <c r="F5">
        <v>124.7</v>
      </c>
      <c r="G5">
        <v>94.9</v>
      </c>
      <c r="H5">
        <v>149.5</v>
      </c>
      <c r="I5">
        <v>184.6</v>
      </c>
      <c r="J5">
        <v>132.5</v>
      </c>
      <c r="K5">
        <v>116.8</v>
      </c>
      <c r="L5">
        <v>174.4</v>
      </c>
      <c r="M5">
        <v>134.19999999999999</v>
      </c>
      <c r="N5">
        <v>137.9</v>
      </c>
      <c r="O5">
        <v>170.2</v>
      </c>
      <c r="P5">
        <v>126.8</v>
      </c>
      <c r="Q5">
        <v>153.69999999999999</v>
      </c>
    </row>
    <row r="6" spans="1:17" x14ac:dyDescent="0.45">
      <c r="B6" s="6">
        <v>44317</v>
      </c>
      <c r="C6">
        <v>141</v>
      </c>
      <c r="D6">
        <v>156.6</v>
      </c>
      <c r="E6">
        <v>151.69999999999999</v>
      </c>
      <c r="F6">
        <v>124.7</v>
      </c>
      <c r="G6">
        <v>95.1</v>
      </c>
      <c r="H6">
        <v>150.30000000000001</v>
      </c>
      <c r="I6">
        <v>190.5</v>
      </c>
      <c r="J6">
        <v>132.4</v>
      </c>
      <c r="K6">
        <v>117.6</v>
      </c>
      <c r="L6">
        <v>175.2</v>
      </c>
      <c r="M6">
        <v>134.6</v>
      </c>
      <c r="N6">
        <v>138.5</v>
      </c>
      <c r="O6">
        <v>173.2</v>
      </c>
      <c r="P6">
        <v>127.9</v>
      </c>
      <c r="Q6">
        <v>154</v>
      </c>
    </row>
    <row r="7" spans="1:17" x14ac:dyDescent="0.45">
      <c r="B7" s="6">
        <v>44348</v>
      </c>
      <c r="C7">
        <v>141.4</v>
      </c>
      <c r="D7">
        <v>156.80000000000001</v>
      </c>
      <c r="E7">
        <v>152.80000000000001</v>
      </c>
      <c r="F7">
        <v>124.8</v>
      </c>
      <c r="G7">
        <v>93.4</v>
      </c>
      <c r="H7">
        <v>150.80000000000001</v>
      </c>
      <c r="I7">
        <v>193.6</v>
      </c>
      <c r="J7">
        <v>132.6</v>
      </c>
      <c r="K7">
        <v>118</v>
      </c>
      <c r="L7">
        <v>175.5</v>
      </c>
      <c r="M7">
        <v>135</v>
      </c>
      <c r="N7">
        <v>138.80000000000001</v>
      </c>
      <c r="O7">
        <v>174.7</v>
      </c>
      <c r="P7">
        <v>128.1</v>
      </c>
      <c r="Q7">
        <v>154.6</v>
      </c>
    </row>
    <row r="8" spans="1:17" x14ac:dyDescent="0.45">
      <c r="B8" s="6">
        <v>44378</v>
      </c>
      <c r="C8">
        <v>142.30000000000001</v>
      </c>
      <c r="D8">
        <v>157.6</v>
      </c>
      <c r="E8">
        <v>153.5</v>
      </c>
      <c r="F8">
        <v>125.6</v>
      </c>
      <c r="G8">
        <v>93</v>
      </c>
      <c r="H8">
        <v>152.19999999999999</v>
      </c>
      <c r="I8">
        <v>200.4</v>
      </c>
      <c r="J8">
        <v>133.4</v>
      </c>
      <c r="K8">
        <v>119.7</v>
      </c>
      <c r="L8">
        <v>175</v>
      </c>
      <c r="M8">
        <v>135.6</v>
      </c>
      <c r="N8">
        <v>139.5</v>
      </c>
      <c r="O8">
        <v>179.2</v>
      </c>
      <c r="P8">
        <v>129.1</v>
      </c>
      <c r="Q8">
        <v>155.4</v>
      </c>
    </row>
    <row r="9" spans="1:17" x14ac:dyDescent="0.45">
      <c r="B9" s="6">
        <v>44409</v>
      </c>
      <c r="C9">
        <v>142.6</v>
      </c>
      <c r="D9">
        <v>158</v>
      </c>
      <c r="E9">
        <v>153.9</v>
      </c>
      <c r="F9">
        <v>125.8</v>
      </c>
      <c r="G9">
        <v>93.3</v>
      </c>
      <c r="H9">
        <v>153.80000000000001</v>
      </c>
      <c r="I9">
        <v>201.3</v>
      </c>
      <c r="J9">
        <v>133.30000000000001</v>
      </c>
      <c r="K9">
        <v>118.6</v>
      </c>
      <c r="L9">
        <v>176.2</v>
      </c>
      <c r="M9">
        <v>135.9</v>
      </c>
      <c r="N9">
        <v>139.80000000000001</v>
      </c>
      <c r="O9">
        <v>180.2</v>
      </c>
      <c r="P9">
        <v>129.4</v>
      </c>
      <c r="Q9">
        <v>155.69999999999999</v>
      </c>
    </row>
    <row r="10" spans="1:17" x14ac:dyDescent="0.45">
      <c r="B10" s="6">
        <v>44440</v>
      </c>
      <c r="C10">
        <v>142.9</v>
      </c>
      <c r="D10">
        <v>158.5</v>
      </c>
      <c r="E10">
        <v>154.4</v>
      </c>
      <c r="F10">
        <v>125.9</v>
      </c>
      <c r="G10">
        <v>94.7</v>
      </c>
      <c r="H10">
        <v>153.19999999999999</v>
      </c>
      <c r="I10">
        <v>201</v>
      </c>
      <c r="J10">
        <v>133.69999999999999</v>
      </c>
      <c r="K10">
        <v>119</v>
      </c>
      <c r="L10">
        <v>175.8</v>
      </c>
      <c r="M10">
        <v>136.19999999999999</v>
      </c>
      <c r="N10">
        <v>140.1</v>
      </c>
      <c r="O10">
        <v>179.9</v>
      </c>
      <c r="P10">
        <v>129.6</v>
      </c>
      <c r="Q10">
        <v>156.1</v>
      </c>
    </row>
    <row r="11" spans="1:17" x14ac:dyDescent="0.45">
      <c r="B11" s="6">
        <v>44470</v>
      </c>
      <c r="C11">
        <v>143.9</v>
      </c>
      <c r="D11">
        <v>159.19999999999999</v>
      </c>
      <c r="E11">
        <v>155.4</v>
      </c>
      <c r="F11">
        <v>126.5</v>
      </c>
      <c r="G11">
        <v>96</v>
      </c>
      <c r="H11">
        <v>155.4</v>
      </c>
      <c r="I11">
        <v>211.1</v>
      </c>
      <c r="J11">
        <v>133.9</v>
      </c>
      <c r="K11">
        <v>120.1</v>
      </c>
      <c r="L11">
        <v>176.2</v>
      </c>
      <c r="M11">
        <v>136.80000000000001</v>
      </c>
      <c r="N11">
        <v>140.69999999999999</v>
      </c>
      <c r="O11">
        <v>187.5</v>
      </c>
      <c r="P11">
        <v>130.9</v>
      </c>
      <c r="Q11">
        <v>156.69999999999999</v>
      </c>
    </row>
    <row r="12" spans="1:17" x14ac:dyDescent="0.45">
      <c r="B12" s="6">
        <v>44501</v>
      </c>
      <c r="C12">
        <v>144.19999999999999</v>
      </c>
      <c r="D12">
        <v>160.69999999999999</v>
      </c>
      <c r="E12">
        <v>155.9</v>
      </c>
      <c r="F12">
        <v>126.3</v>
      </c>
      <c r="G12">
        <v>96.9</v>
      </c>
      <c r="H12">
        <v>155.4</v>
      </c>
      <c r="I12">
        <v>210.8</v>
      </c>
      <c r="J12">
        <v>134.1</v>
      </c>
      <c r="K12">
        <v>118.5</v>
      </c>
      <c r="L12">
        <v>176.6</v>
      </c>
      <c r="M12">
        <v>136.80000000000001</v>
      </c>
      <c r="N12">
        <v>141</v>
      </c>
      <c r="O12">
        <v>188.4</v>
      </c>
      <c r="P12">
        <v>131.69999999999999</v>
      </c>
      <c r="Q12">
        <v>156.5</v>
      </c>
    </row>
    <row r="13" spans="1:17" x14ac:dyDescent="0.45">
      <c r="B13" s="6">
        <v>44531</v>
      </c>
      <c r="C13">
        <v>144</v>
      </c>
      <c r="D13">
        <v>161.6</v>
      </c>
      <c r="E13">
        <v>156.80000000000001</v>
      </c>
      <c r="F13">
        <v>126.1</v>
      </c>
      <c r="G13">
        <v>93.1</v>
      </c>
      <c r="H13">
        <v>154.9</v>
      </c>
      <c r="I13">
        <v>202.2</v>
      </c>
      <c r="J13">
        <v>133.4</v>
      </c>
      <c r="K13">
        <v>117.7</v>
      </c>
      <c r="L13">
        <v>175.7</v>
      </c>
      <c r="M13">
        <v>136.69999999999999</v>
      </c>
      <c r="N13">
        <v>141.1</v>
      </c>
      <c r="O13">
        <v>184.2</v>
      </c>
      <c r="P13">
        <v>130.80000000000001</v>
      </c>
      <c r="Q13">
        <v>157.19999999999999</v>
      </c>
    </row>
    <row r="14" spans="1:17" x14ac:dyDescent="0.45">
      <c r="B14" s="6">
        <v>44562</v>
      </c>
      <c r="C14">
        <v>145.30000000000001</v>
      </c>
      <c r="D14">
        <v>163.9</v>
      </c>
      <c r="E14">
        <v>157.6</v>
      </c>
      <c r="F14">
        <v>126.7</v>
      </c>
      <c r="G14">
        <v>93.4</v>
      </c>
      <c r="H14">
        <v>156.9</v>
      </c>
      <c r="I14">
        <v>211.9</v>
      </c>
      <c r="J14">
        <v>134.1</v>
      </c>
      <c r="K14">
        <v>119.2</v>
      </c>
      <c r="L14">
        <v>178.2</v>
      </c>
      <c r="M14">
        <v>137.5</v>
      </c>
      <c r="N14">
        <v>142.1</v>
      </c>
      <c r="O14">
        <v>190</v>
      </c>
      <c r="P14">
        <v>132.69999999999999</v>
      </c>
      <c r="Q14">
        <v>157.69999999999999</v>
      </c>
    </row>
    <row r="15" spans="1:17" x14ac:dyDescent="0.45">
      <c r="B15" s="6">
        <v>44593</v>
      </c>
      <c r="C15">
        <v>146.80000000000001</v>
      </c>
      <c r="D15">
        <v>166</v>
      </c>
      <c r="E15">
        <v>158.6</v>
      </c>
      <c r="F15">
        <v>127.6</v>
      </c>
      <c r="G15">
        <v>93.8</v>
      </c>
      <c r="H15">
        <v>159.9</v>
      </c>
      <c r="I15">
        <v>226.6</v>
      </c>
      <c r="J15">
        <v>134.6</v>
      </c>
      <c r="K15">
        <v>120.9</v>
      </c>
      <c r="L15">
        <v>178.5</v>
      </c>
      <c r="M15">
        <v>138.30000000000001</v>
      </c>
      <c r="N15">
        <v>143.1</v>
      </c>
      <c r="O15">
        <v>199</v>
      </c>
      <c r="P15">
        <v>134.69999999999999</v>
      </c>
      <c r="Q15">
        <v>158.4</v>
      </c>
    </row>
    <row r="16" spans="1:17" x14ac:dyDescent="0.45">
      <c r="B16" s="6">
        <v>44621</v>
      </c>
      <c r="C16">
        <v>148.9</v>
      </c>
      <c r="D16">
        <v>167.5</v>
      </c>
      <c r="E16">
        <v>160.19999999999999</v>
      </c>
      <c r="F16">
        <v>129.1</v>
      </c>
      <c r="G16">
        <v>94.5</v>
      </c>
      <c r="H16">
        <v>165.5</v>
      </c>
      <c r="I16">
        <v>253.4</v>
      </c>
      <c r="J16">
        <v>134.9</v>
      </c>
      <c r="K16">
        <v>123.1</v>
      </c>
      <c r="L16">
        <v>179.3</v>
      </c>
      <c r="M16">
        <v>139.6</v>
      </c>
      <c r="N16">
        <v>144.4</v>
      </c>
      <c r="O16">
        <v>213.9</v>
      </c>
      <c r="P16">
        <v>137.80000000000001</v>
      </c>
      <c r="Q16">
        <v>159.4</v>
      </c>
    </row>
    <row r="17" spans="2:17" x14ac:dyDescent="0.45">
      <c r="B17" s="6">
        <v>44652</v>
      </c>
      <c r="C17">
        <v>149.80000000000001</v>
      </c>
      <c r="D17">
        <v>169</v>
      </c>
      <c r="E17">
        <v>161.9</v>
      </c>
      <c r="F17">
        <v>129.80000000000001</v>
      </c>
      <c r="G17">
        <v>95.1</v>
      </c>
      <c r="H17">
        <v>166.3</v>
      </c>
      <c r="I17">
        <v>251.7</v>
      </c>
      <c r="J17">
        <v>137</v>
      </c>
      <c r="K17">
        <v>121.6</v>
      </c>
      <c r="L17">
        <v>179.8</v>
      </c>
      <c r="M17">
        <v>140.4</v>
      </c>
      <c r="N17">
        <v>145.30000000000001</v>
      </c>
      <c r="O17">
        <v>215.1</v>
      </c>
      <c r="P17">
        <v>138.30000000000001</v>
      </c>
      <c r="Q17">
        <v>160.80000000000001</v>
      </c>
    </row>
    <row r="18" spans="2:17" x14ac:dyDescent="0.45">
      <c r="B18" s="6">
        <v>44682</v>
      </c>
      <c r="C18">
        <v>151.9</v>
      </c>
      <c r="D18">
        <v>170.4</v>
      </c>
      <c r="E18">
        <v>163</v>
      </c>
      <c r="F18">
        <v>131.5</v>
      </c>
      <c r="G18">
        <v>97.2</v>
      </c>
      <c r="H18">
        <v>172.2</v>
      </c>
      <c r="I18">
        <v>281.89999999999998</v>
      </c>
      <c r="J18">
        <v>137.19999999999999</v>
      </c>
      <c r="K18">
        <v>123.9</v>
      </c>
      <c r="L18">
        <v>180.4</v>
      </c>
      <c r="M18">
        <v>141.6</v>
      </c>
      <c r="N18">
        <v>146.6</v>
      </c>
      <c r="O18">
        <v>233.4</v>
      </c>
      <c r="P18">
        <v>141.19999999999999</v>
      </c>
      <c r="Q18">
        <v>162</v>
      </c>
    </row>
    <row r="19" spans="2:17" x14ac:dyDescent="0.45">
      <c r="B19" s="6">
        <v>44713</v>
      </c>
      <c r="C19">
        <v>152.9</v>
      </c>
      <c r="D19">
        <v>170.6</v>
      </c>
      <c r="E19">
        <v>163.6</v>
      </c>
      <c r="F19">
        <v>131.80000000000001</v>
      </c>
      <c r="G19">
        <v>95.9</v>
      </c>
      <c r="H19">
        <v>176.2</v>
      </c>
      <c r="I19">
        <v>299.39999999999998</v>
      </c>
      <c r="J19">
        <v>137.80000000000001</v>
      </c>
      <c r="K19">
        <v>125.3</v>
      </c>
      <c r="L19">
        <v>180.7</v>
      </c>
      <c r="M19">
        <v>142.19999999999999</v>
      </c>
      <c r="N19">
        <v>147.1</v>
      </c>
      <c r="O19">
        <v>242.5</v>
      </c>
      <c r="P19">
        <v>142.4</v>
      </c>
      <c r="Q19">
        <v>162.69999999999999</v>
      </c>
    </row>
    <row r="20" spans="2:17" x14ac:dyDescent="0.45">
      <c r="B20" s="6">
        <v>44743</v>
      </c>
      <c r="C20">
        <v>153.1</v>
      </c>
      <c r="D20">
        <v>172.1</v>
      </c>
      <c r="E20">
        <v>164.2</v>
      </c>
      <c r="F20">
        <v>131.9</v>
      </c>
      <c r="G20">
        <v>94.3</v>
      </c>
      <c r="H20">
        <v>174.1</v>
      </c>
      <c r="I20">
        <v>271.8</v>
      </c>
      <c r="J20">
        <v>138.6</v>
      </c>
      <c r="K20">
        <v>127.1</v>
      </c>
      <c r="L20">
        <v>181.6</v>
      </c>
      <c r="M20">
        <v>143.1</v>
      </c>
      <c r="N20">
        <v>148.1</v>
      </c>
      <c r="O20">
        <v>229.4</v>
      </c>
      <c r="P20">
        <v>141.5</v>
      </c>
      <c r="Q20">
        <v>164.2</v>
      </c>
    </row>
    <row r="21" spans="2:17" x14ac:dyDescent="0.45">
      <c r="B21" s="6">
        <v>44774</v>
      </c>
      <c r="C21">
        <v>152.6</v>
      </c>
      <c r="D21">
        <v>173.5</v>
      </c>
      <c r="E21">
        <v>164.1</v>
      </c>
      <c r="F21">
        <v>132.19999999999999</v>
      </c>
      <c r="G21">
        <v>94.6</v>
      </c>
      <c r="H21">
        <v>169.7</v>
      </c>
      <c r="I21">
        <v>245.8</v>
      </c>
      <c r="J21">
        <v>139.1</v>
      </c>
      <c r="K21">
        <v>125.4</v>
      </c>
      <c r="L21">
        <v>182.4</v>
      </c>
      <c r="M21">
        <v>143.1</v>
      </c>
      <c r="N21">
        <v>148.30000000000001</v>
      </c>
      <c r="O21">
        <v>214.5</v>
      </c>
      <c r="P21">
        <v>140.4</v>
      </c>
      <c r="Q21">
        <v>164.3</v>
      </c>
    </row>
    <row r="22" spans="2:17" x14ac:dyDescent="0.45">
      <c r="B22" s="6">
        <v>44805</v>
      </c>
      <c r="C22">
        <v>152.69999999999999</v>
      </c>
      <c r="D22">
        <v>174.8</v>
      </c>
      <c r="E22">
        <v>164.9</v>
      </c>
      <c r="F22">
        <v>132.69999999999999</v>
      </c>
      <c r="G22">
        <v>96.1</v>
      </c>
      <c r="H22">
        <v>166.5</v>
      </c>
      <c r="I22">
        <v>227.6</v>
      </c>
      <c r="J22">
        <v>139.6</v>
      </c>
      <c r="K22">
        <v>125.2</v>
      </c>
      <c r="L22">
        <v>182.4</v>
      </c>
      <c r="M22">
        <v>143.6</v>
      </c>
      <c r="N22">
        <v>148.9</v>
      </c>
      <c r="O22">
        <v>205.1</v>
      </c>
      <c r="P22">
        <v>140.19999999999999</v>
      </c>
      <c r="Q22">
        <v>164.8</v>
      </c>
    </row>
    <row r="23" spans="2:17" x14ac:dyDescent="0.45">
      <c r="B23" s="6">
        <v>44835</v>
      </c>
      <c r="C23">
        <v>153.80000000000001</v>
      </c>
      <c r="D23">
        <v>175.2</v>
      </c>
      <c r="E23">
        <v>166.2</v>
      </c>
      <c r="F23">
        <v>132.9</v>
      </c>
      <c r="G23">
        <v>97.7</v>
      </c>
      <c r="H23">
        <v>170.1</v>
      </c>
      <c r="I23">
        <v>248.6</v>
      </c>
      <c r="J23">
        <v>140.4</v>
      </c>
      <c r="K23">
        <v>125</v>
      </c>
      <c r="L23">
        <v>183.5</v>
      </c>
      <c r="M23">
        <v>144.1</v>
      </c>
      <c r="N23">
        <v>149.4</v>
      </c>
      <c r="O23">
        <v>217.9</v>
      </c>
      <c r="P23">
        <v>141.9</v>
      </c>
      <c r="Q23">
        <v>165.2</v>
      </c>
    </row>
    <row r="24" spans="2:17" x14ac:dyDescent="0.45">
      <c r="B24" s="6">
        <v>44866</v>
      </c>
      <c r="C24">
        <v>154</v>
      </c>
      <c r="D24">
        <v>177.3</v>
      </c>
      <c r="E24">
        <v>167.2</v>
      </c>
      <c r="F24">
        <v>132.9</v>
      </c>
      <c r="G24">
        <v>97.3</v>
      </c>
      <c r="H24">
        <v>168.6</v>
      </c>
      <c r="I24">
        <v>239.6</v>
      </c>
      <c r="J24">
        <v>141.5</v>
      </c>
      <c r="K24">
        <v>123.4</v>
      </c>
      <c r="L24">
        <v>184.5</v>
      </c>
      <c r="M24">
        <v>144.19999999999999</v>
      </c>
      <c r="N24">
        <v>149.80000000000001</v>
      </c>
      <c r="O24">
        <v>214.6</v>
      </c>
      <c r="P24">
        <v>142.19999999999999</v>
      </c>
      <c r="Q24">
        <v>165.5</v>
      </c>
    </row>
    <row r="25" spans="2:17" x14ac:dyDescent="0.45">
      <c r="B25" s="6">
        <v>44896</v>
      </c>
      <c r="C25">
        <v>153.1</v>
      </c>
      <c r="D25">
        <v>177.9</v>
      </c>
      <c r="E25">
        <v>167.8</v>
      </c>
      <c r="F25">
        <v>131.9</v>
      </c>
      <c r="G25">
        <v>94.8</v>
      </c>
      <c r="H25">
        <v>164.2</v>
      </c>
      <c r="I25">
        <v>208.3</v>
      </c>
      <c r="J25">
        <v>141.5</v>
      </c>
      <c r="K25">
        <v>121.7</v>
      </c>
      <c r="L25">
        <v>184.2</v>
      </c>
      <c r="M25">
        <v>144</v>
      </c>
      <c r="N25">
        <v>149.69999999999999</v>
      </c>
      <c r="O25">
        <v>197.7</v>
      </c>
      <c r="P25">
        <v>139.80000000000001</v>
      </c>
      <c r="Q25">
        <v>166</v>
      </c>
    </row>
    <row r="26" spans="2:17" x14ac:dyDescent="0.45">
      <c r="B26" s="6">
        <v>44927</v>
      </c>
      <c r="C26">
        <v>153.9</v>
      </c>
      <c r="D26">
        <v>181</v>
      </c>
      <c r="E26">
        <v>168</v>
      </c>
      <c r="F26">
        <v>131.4</v>
      </c>
      <c r="G26">
        <v>93.8</v>
      </c>
      <c r="H26">
        <v>165.4</v>
      </c>
      <c r="I26">
        <v>218.1</v>
      </c>
      <c r="J26">
        <v>142.4</v>
      </c>
      <c r="K26">
        <v>122.6</v>
      </c>
      <c r="L26">
        <v>186.5</v>
      </c>
      <c r="M26">
        <v>144.30000000000001</v>
      </c>
      <c r="N26">
        <v>150.4</v>
      </c>
      <c r="O26">
        <v>200.3</v>
      </c>
      <c r="P26">
        <v>141.19999999999999</v>
      </c>
      <c r="Q26">
        <v>166.1</v>
      </c>
    </row>
    <row r="27" spans="2:17" x14ac:dyDescent="0.45">
      <c r="B27" s="6">
        <v>44958</v>
      </c>
      <c r="C27">
        <v>154.5</v>
      </c>
      <c r="D27">
        <v>182.1</v>
      </c>
      <c r="E27">
        <v>168.3</v>
      </c>
      <c r="F27">
        <v>132.80000000000001</v>
      </c>
      <c r="G27">
        <v>95.6</v>
      </c>
      <c r="H27">
        <v>164.8</v>
      </c>
      <c r="I27">
        <v>215.9</v>
      </c>
      <c r="J27">
        <v>143</v>
      </c>
      <c r="K27">
        <v>123.7</v>
      </c>
      <c r="L27">
        <v>187.3</v>
      </c>
      <c r="M27">
        <v>145</v>
      </c>
      <c r="N27">
        <v>151.19999999999999</v>
      </c>
      <c r="O27">
        <v>197.9</v>
      </c>
      <c r="P27">
        <v>141.80000000000001</v>
      </c>
      <c r="Q27">
        <v>166.8</v>
      </c>
    </row>
    <row r="28" spans="2:17" x14ac:dyDescent="0.45">
      <c r="B28" s="6">
        <v>44986</v>
      </c>
      <c r="C28">
        <v>155.30000000000001</v>
      </c>
      <c r="D28">
        <v>182.4</v>
      </c>
      <c r="E28">
        <v>168.9</v>
      </c>
      <c r="F28">
        <v>133.30000000000001</v>
      </c>
      <c r="G28">
        <v>96.8</v>
      </c>
      <c r="H28">
        <v>166</v>
      </c>
      <c r="I28">
        <v>218.4</v>
      </c>
      <c r="J28">
        <v>143.69999999999999</v>
      </c>
      <c r="K28">
        <v>125.1</v>
      </c>
      <c r="L28">
        <v>189</v>
      </c>
      <c r="M28">
        <v>145.9</v>
      </c>
      <c r="N28">
        <v>152</v>
      </c>
      <c r="O28">
        <v>199.2</v>
      </c>
      <c r="P28">
        <v>142.69999999999999</v>
      </c>
      <c r="Q28">
        <v>167.6</v>
      </c>
    </row>
    <row r="29" spans="2:17" x14ac:dyDescent="0.45">
      <c r="B29" s="6">
        <v>45017</v>
      </c>
      <c r="C29">
        <v>156.4</v>
      </c>
      <c r="D29">
        <v>183.1</v>
      </c>
      <c r="E29">
        <v>169.9</v>
      </c>
      <c r="F29">
        <v>133.69999999999999</v>
      </c>
      <c r="G29">
        <v>97.5</v>
      </c>
      <c r="H29">
        <v>168.5</v>
      </c>
      <c r="I29">
        <v>232.2</v>
      </c>
      <c r="J29">
        <v>145.69999999999999</v>
      </c>
      <c r="K29">
        <v>125.4</v>
      </c>
      <c r="L29">
        <v>189.4</v>
      </c>
      <c r="M29">
        <v>146.6</v>
      </c>
      <c r="N29">
        <v>152.69999999999999</v>
      </c>
      <c r="O29">
        <v>206</v>
      </c>
      <c r="P29">
        <v>143.9</v>
      </c>
      <c r="Q29">
        <v>168.5</v>
      </c>
    </row>
    <row r="30" spans="2:17" x14ac:dyDescent="0.45">
      <c r="B30" s="6">
        <v>45047</v>
      </c>
      <c r="C30">
        <v>157</v>
      </c>
      <c r="D30">
        <v>184.6</v>
      </c>
      <c r="E30">
        <v>170.6</v>
      </c>
      <c r="F30">
        <v>133</v>
      </c>
      <c r="G30">
        <v>97.9</v>
      </c>
      <c r="H30">
        <v>168.1</v>
      </c>
      <c r="I30">
        <v>230.3</v>
      </c>
      <c r="J30">
        <v>146</v>
      </c>
      <c r="K30">
        <v>127.8</v>
      </c>
      <c r="L30">
        <v>190.3</v>
      </c>
      <c r="M30">
        <v>147.19999999999999</v>
      </c>
      <c r="N30">
        <v>153.4</v>
      </c>
      <c r="O30">
        <v>204.4</v>
      </c>
      <c r="P30">
        <v>144.1</v>
      </c>
      <c r="Q30">
        <v>169.4</v>
      </c>
    </row>
    <row r="31" spans="2:17" x14ac:dyDescent="0.45">
      <c r="B31" s="6">
        <v>45078</v>
      </c>
      <c r="C31">
        <v>157.19999999999999</v>
      </c>
      <c r="D31">
        <v>184.8</v>
      </c>
      <c r="E31">
        <v>171.4</v>
      </c>
      <c r="F31">
        <v>132.19999999999999</v>
      </c>
      <c r="G31">
        <v>96.2</v>
      </c>
      <c r="H31">
        <v>170.2</v>
      </c>
      <c r="I31">
        <v>234.7</v>
      </c>
      <c r="J31">
        <v>146.4</v>
      </c>
      <c r="K31">
        <v>126.8</v>
      </c>
      <c r="L31">
        <v>190.5</v>
      </c>
      <c r="M31">
        <v>147.19999999999999</v>
      </c>
      <c r="N31">
        <v>153.5</v>
      </c>
      <c r="O31">
        <v>207.2</v>
      </c>
      <c r="P31">
        <v>144.4</v>
      </c>
      <c r="Q31">
        <v>169.5</v>
      </c>
    </row>
    <row r="32" spans="2:17" x14ac:dyDescent="0.45">
      <c r="B32" s="6">
        <v>45108</v>
      </c>
      <c r="C32">
        <v>158.1</v>
      </c>
      <c r="D32">
        <v>185.5</v>
      </c>
      <c r="E32">
        <v>172.6</v>
      </c>
      <c r="F32">
        <v>131.80000000000001</v>
      </c>
      <c r="G32">
        <v>95.2</v>
      </c>
      <c r="H32">
        <v>172.4</v>
      </c>
      <c r="I32">
        <v>236.8</v>
      </c>
      <c r="J32">
        <v>146.6</v>
      </c>
      <c r="K32">
        <v>129.4</v>
      </c>
      <c r="L32">
        <v>191.2</v>
      </c>
      <c r="M32">
        <v>148</v>
      </c>
      <c r="N32">
        <v>154.30000000000001</v>
      </c>
      <c r="O32">
        <v>210.7</v>
      </c>
      <c r="P32">
        <v>144.69999999999999</v>
      </c>
      <c r="Q32">
        <v>171.2</v>
      </c>
    </row>
    <row r="33" spans="2:17" x14ac:dyDescent="0.45">
      <c r="B33" s="6">
        <v>45139</v>
      </c>
      <c r="C33">
        <v>158.69999999999999</v>
      </c>
      <c r="D33">
        <v>185.3</v>
      </c>
      <c r="E33">
        <v>174</v>
      </c>
      <c r="F33">
        <v>132.19999999999999</v>
      </c>
      <c r="G33">
        <v>96.2</v>
      </c>
      <c r="H33">
        <v>173.6</v>
      </c>
      <c r="I33">
        <v>247.8</v>
      </c>
      <c r="J33">
        <v>147.19999999999999</v>
      </c>
      <c r="K33">
        <v>128.19999999999999</v>
      </c>
      <c r="L33">
        <v>191.9</v>
      </c>
      <c r="M33">
        <v>148.30000000000001</v>
      </c>
      <c r="N33">
        <v>154.5</v>
      </c>
      <c r="O33">
        <v>218.4</v>
      </c>
      <c r="P33">
        <v>145.6</v>
      </c>
      <c r="Q33">
        <v>171.3</v>
      </c>
    </row>
    <row r="34" spans="2:17" x14ac:dyDescent="0.45">
      <c r="B34" s="6">
        <v>45170</v>
      </c>
      <c r="C34">
        <v>158.5</v>
      </c>
      <c r="D34">
        <v>185.2</v>
      </c>
      <c r="E34">
        <v>174.8</v>
      </c>
      <c r="F34">
        <v>131.30000000000001</v>
      </c>
      <c r="G34">
        <v>97.1</v>
      </c>
      <c r="H34">
        <v>171.9</v>
      </c>
      <c r="I34">
        <v>244.7</v>
      </c>
      <c r="J34">
        <v>147.4</v>
      </c>
      <c r="K34">
        <v>127.5</v>
      </c>
      <c r="L34">
        <v>192</v>
      </c>
      <c r="M34">
        <v>148.19999999999999</v>
      </c>
      <c r="N34">
        <v>154.4</v>
      </c>
      <c r="O34">
        <v>216.2</v>
      </c>
      <c r="P34">
        <v>145.19999999999999</v>
      </c>
      <c r="Q34">
        <v>171.3</v>
      </c>
    </row>
    <row r="35" spans="2:17" x14ac:dyDescent="0.45">
      <c r="B35" s="6">
        <v>45200</v>
      </c>
      <c r="C35">
        <v>158.6</v>
      </c>
      <c r="D35">
        <v>185</v>
      </c>
      <c r="E35">
        <v>176.3</v>
      </c>
      <c r="F35">
        <v>131.30000000000001</v>
      </c>
      <c r="G35">
        <v>97.2</v>
      </c>
      <c r="H35">
        <v>169.5</v>
      </c>
      <c r="I35">
        <v>229.1</v>
      </c>
      <c r="J35">
        <v>147.30000000000001</v>
      </c>
      <c r="K35">
        <v>128.6</v>
      </c>
      <c r="L35">
        <v>192.2</v>
      </c>
      <c r="M35">
        <v>149</v>
      </c>
      <c r="N35">
        <v>155.1</v>
      </c>
      <c r="O35">
        <v>206.2</v>
      </c>
      <c r="P35">
        <v>144.1</v>
      </c>
      <c r="Q35">
        <v>172.8</v>
      </c>
    </row>
    <row r="36" spans="2:17" x14ac:dyDescent="0.45">
      <c r="B36" s="6">
        <v>45231</v>
      </c>
      <c r="C36">
        <v>158.80000000000001</v>
      </c>
      <c r="D36">
        <v>186.2</v>
      </c>
      <c r="E36">
        <v>177.1</v>
      </c>
      <c r="F36">
        <v>130.9</v>
      </c>
      <c r="G36">
        <v>97.9</v>
      </c>
      <c r="H36">
        <v>168.5</v>
      </c>
      <c r="I36">
        <v>221.1</v>
      </c>
      <c r="J36">
        <v>147.4</v>
      </c>
      <c r="K36">
        <v>128.1</v>
      </c>
      <c r="L36">
        <v>193</v>
      </c>
      <c r="M36">
        <v>149.30000000000001</v>
      </c>
      <c r="N36">
        <v>155.5</v>
      </c>
      <c r="O36">
        <v>202.3</v>
      </c>
      <c r="P36">
        <v>144.19999999999999</v>
      </c>
      <c r="Q36">
        <v>173.1</v>
      </c>
    </row>
    <row r="37" spans="2:17" x14ac:dyDescent="0.45">
      <c r="B37" s="6">
        <v>45261</v>
      </c>
      <c r="C37">
        <v>158.30000000000001</v>
      </c>
      <c r="D37">
        <v>186.8</v>
      </c>
      <c r="E37">
        <v>177.8</v>
      </c>
      <c r="F37">
        <v>129.69999999999999</v>
      </c>
      <c r="G37">
        <v>95.7</v>
      </c>
      <c r="H37">
        <v>169.5</v>
      </c>
      <c r="I37">
        <v>211.3</v>
      </c>
      <c r="J37">
        <v>146.69999999999999</v>
      </c>
      <c r="K37">
        <v>123.8</v>
      </c>
      <c r="L37">
        <v>192.1</v>
      </c>
      <c r="M37">
        <v>148.9</v>
      </c>
      <c r="N37">
        <v>155.19999999999999</v>
      </c>
      <c r="O37">
        <v>197</v>
      </c>
      <c r="P37">
        <v>143.1</v>
      </c>
      <c r="Q37">
        <v>173.1</v>
      </c>
    </row>
    <row r="38" spans="2:17" x14ac:dyDescent="0.45">
      <c r="B38" s="6">
        <v>45292</v>
      </c>
      <c r="C38">
        <v>158.30000000000001</v>
      </c>
      <c r="D38">
        <v>188.1</v>
      </c>
      <c r="E38">
        <v>178.4</v>
      </c>
      <c r="F38">
        <v>130.80000000000001</v>
      </c>
      <c r="G38">
        <v>92.6</v>
      </c>
      <c r="H38">
        <v>167.4</v>
      </c>
      <c r="I38">
        <v>209.3</v>
      </c>
      <c r="J38">
        <v>147.69999999999999</v>
      </c>
      <c r="K38">
        <v>123</v>
      </c>
      <c r="L38">
        <v>194.3</v>
      </c>
      <c r="M38">
        <v>148.80000000000001</v>
      </c>
      <c r="N38">
        <v>155.30000000000001</v>
      </c>
      <c r="O38">
        <v>194.9</v>
      </c>
      <c r="P38">
        <v>143.1</v>
      </c>
      <c r="Q38">
        <v>173.1</v>
      </c>
    </row>
    <row r="39" spans="2:17" x14ac:dyDescent="0.45">
      <c r="B39" s="6">
        <v>45323</v>
      </c>
      <c r="C39">
        <v>158.80000000000001</v>
      </c>
      <c r="D39">
        <v>188.1</v>
      </c>
      <c r="E39">
        <v>179.2</v>
      </c>
      <c r="F39">
        <v>130.6</v>
      </c>
      <c r="G39">
        <v>91.6</v>
      </c>
      <c r="H39">
        <v>168.5</v>
      </c>
      <c r="I39">
        <v>217.7</v>
      </c>
      <c r="J39">
        <v>148.4</v>
      </c>
      <c r="K39">
        <v>125</v>
      </c>
      <c r="L39">
        <v>194.1</v>
      </c>
      <c r="M39">
        <v>149.1</v>
      </c>
      <c r="N39">
        <v>155.6</v>
      </c>
      <c r="O39">
        <v>200.4</v>
      </c>
      <c r="P39">
        <v>143.5</v>
      </c>
      <c r="Q39">
        <v>173.8</v>
      </c>
    </row>
    <row r="40" spans="2:17" x14ac:dyDescent="0.45">
      <c r="B40" s="6">
        <v>45352</v>
      </c>
      <c r="C40">
        <v>159.80000000000001</v>
      </c>
      <c r="D40">
        <v>187.8</v>
      </c>
      <c r="E40">
        <v>179.9</v>
      </c>
      <c r="F40">
        <v>130.19999999999999</v>
      </c>
      <c r="G40">
        <v>94.2</v>
      </c>
      <c r="H40">
        <v>171</v>
      </c>
      <c r="I40">
        <v>228.3</v>
      </c>
      <c r="J40">
        <v>148.30000000000001</v>
      </c>
      <c r="K40">
        <v>127.5</v>
      </c>
      <c r="L40">
        <v>195</v>
      </c>
      <c r="M40">
        <v>150.1</v>
      </c>
      <c r="N40">
        <v>156.4</v>
      </c>
      <c r="O40">
        <v>204.7</v>
      </c>
      <c r="P40">
        <v>144.19999999999999</v>
      </c>
      <c r="Q40">
        <v>175.1</v>
      </c>
    </row>
    <row r="41" spans="2:17" x14ac:dyDescent="0.45">
      <c r="B41" s="6">
        <v>45383</v>
      </c>
      <c r="C41">
        <v>160.6</v>
      </c>
      <c r="D41">
        <v>187.4</v>
      </c>
      <c r="E41">
        <v>180.8</v>
      </c>
      <c r="F41">
        <v>130.9</v>
      </c>
      <c r="G41">
        <v>95</v>
      </c>
      <c r="H41">
        <v>173.8</v>
      </c>
      <c r="I41">
        <v>246.3</v>
      </c>
      <c r="J41">
        <v>150</v>
      </c>
      <c r="K41">
        <v>126.6</v>
      </c>
      <c r="L41">
        <v>195.9</v>
      </c>
      <c r="M41">
        <v>150.5</v>
      </c>
      <c r="N41">
        <v>156.6</v>
      </c>
      <c r="O41">
        <v>215.2</v>
      </c>
      <c r="P41">
        <v>145.4</v>
      </c>
      <c r="Q41">
        <v>175.5</v>
      </c>
    </row>
    <row r="42" spans="2:17" x14ac:dyDescent="0.45">
      <c r="B42" s="6">
        <v>45413</v>
      </c>
      <c r="C42">
        <v>161.5</v>
      </c>
      <c r="D42">
        <v>189</v>
      </c>
      <c r="E42">
        <v>181.5</v>
      </c>
      <c r="F42">
        <v>131</v>
      </c>
      <c r="G42">
        <v>95</v>
      </c>
      <c r="H42">
        <v>173.9</v>
      </c>
      <c r="I42">
        <v>243.2</v>
      </c>
      <c r="J42">
        <v>151.19999999999999</v>
      </c>
      <c r="K42">
        <v>129.5</v>
      </c>
      <c r="L42">
        <v>196.4</v>
      </c>
      <c r="M42">
        <v>151.4</v>
      </c>
      <c r="N42">
        <v>157.69999999999999</v>
      </c>
      <c r="O42">
        <v>212.8</v>
      </c>
      <c r="P42">
        <v>145.5</v>
      </c>
      <c r="Q42">
        <v>177.2</v>
      </c>
    </row>
    <row r="43" spans="2:17" x14ac:dyDescent="0.45">
      <c r="B43" s="6">
        <v>45444</v>
      </c>
      <c r="C43">
        <v>161.4</v>
      </c>
      <c r="D43">
        <v>190</v>
      </c>
      <c r="E43">
        <v>182.1</v>
      </c>
      <c r="F43">
        <v>131</v>
      </c>
      <c r="G43">
        <v>93.2</v>
      </c>
      <c r="H43">
        <v>173.6</v>
      </c>
      <c r="I43">
        <v>235.7</v>
      </c>
      <c r="J43">
        <v>150.80000000000001</v>
      </c>
      <c r="K43">
        <v>127.6</v>
      </c>
      <c r="L43">
        <v>196.5</v>
      </c>
      <c r="M43">
        <v>151.4</v>
      </c>
      <c r="N43">
        <v>157.80000000000001</v>
      </c>
      <c r="O43">
        <v>208.3</v>
      </c>
      <c r="P43">
        <v>144.80000000000001</v>
      </c>
      <c r="Q43">
        <v>177.6</v>
      </c>
    </row>
    <row r="44" spans="2:17" x14ac:dyDescent="0.45">
      <c r="B44" s="6">
        <v>45474</v>
      </c>
      <c r="C44">
        <v>162.1</v>
      </c>
      <c r="D44">
        <v>190.5</v>
      </c>
      <c r="E44">
        <v>182.5</v>
      </c>
      <c r="F44">
        <v>131.69999999999999</v>
      </c>
      <c r="G44">
        <v>92.6</v>
      </c>
      <c r="H44">
        <v>175.9</v>
      </c>
      <c r="I44">
        <v>241.4</v>
      </c>
      <c r="J44">
        <v>150.80000000000001</v>
      </c>
      <c r="K44">
        <v>129.1</v>
      </c>
      <c r="L44">
        <v>196.4</v>
      </c>
      <c r="M44">
        <v>152</v>
      </c>
      <c r="N44">
        <v>158.5</v>
      </c>
      <c r="O44">
        <v>211.6</v>
      </c>
      <c r="P44">
        <v>145.1</v>
      </c>
      <c r="Q44">
        <v>178.8</v>
      </c>
    </row>
    <row r="45" spans="2:17" x14ac:dyDescent="0.45">
      <c r="B45" s="6">
        <v>45505</v>
      </c>
      <c r="C45">
        <v>161.80000000000001</v>
      </c>
      <c r="D45">
        <v>190.3</v>
      </c>
      <c r="E45">
        <v>183.3</v>
      </c>
      <c r="F45">
        <v>131.19999999999999</v>
      </c>
      <c r="G45">
        <v>92</v>
      </c>
      <c r="H45">
        <v>173.5</v>
      </c>
      <c r="I45">
        <v>235.2</v>
      </c>
      <c r="J45">
        <v>151.1</v>
      </c>
      <c r="K45">
        <v>128</v>
      </c>
      <c r="L45">
        <v>197.9</v>
      </c>
      <c r="M45">
        <v>151.80000000000001</v>
      </c>
      <c r="N45">
        <v>158.30000000000001</v>
      </c>
      <c r="O45">
        <v>208.2</v>
      </c>
      <c r="P45">
        <v>144.6</v>
      </c>
      <c r="Q45">
        <v>178.6</v>
      </c>
    </row>
    <row r="46" spans="2:17" x14ac:dyDescent="0.45">
      <c r="B46" s="6">
        <v>45536</v>
      </c>
      <c r="C46">
        <v>161.1</v>
      </c>
      <c r="D46">
        <v>190.3</v>
      </c>
      <c r="E46">
        <v>183.5</v>
      </c>
      <c r="F46">
        <v>131</v>
      </c>
      <c r="G46">
        <v>92.8</v>
      </c>
      <c r="H46">
        <v>169.3</v>
      </c>
      <c r="I46">
        <v>218.4</v>
      </c>
      <c r="J46">
        <v>151.9</v>
      </c>
      <c r="K46">
        <v>127.5</v>
      </c>
      <c r="L46">
        <v>197.8</v>
      </c>
      <c r="M46">
        <v>151.69999999999999</v>
      </c>
      <c r="N46">
        <v>158.1</v>
      </c>
      <c r="O46">
        <v>198.3</v>
      </c>
      <c r="P46">
        <v>143.69999999999999</v>
      </c>
      <c r="Q46">
        <v>178.2</v>
      </c>
    </row>
    <row r="47" spans="2:17" x14ac:dyDescent="0.45">
      <c r="B47" s="6">
        <v>45566</v>
      </c>
      <c r="C47">
        <v>161.80000000000001</v>
      </c>
      <c r="D47">
        <v>190.5</v>
      </c>
      <c r="E47">
        <v>184.8</v>
      </c>
      <c r="F47">
        <v>131.19999999999999</v>
      </c>
      <c r="G47">
        <v>95</v>
      </c>
      <c r="H47">
        <v>169.9</v>
      </c>
      <c r="I47">
        <v>220</v>
      </c>
      <c r="J47">
        <v>151.9</v>
      </c>
      <c r="K47">
        <v>127.5</v>
      </c>
      <c r="L47">
        <v>198</v>
      </c>
      <c r="M47">
        <v>152.4</v>
      </c>
      <c r="N47">
        <v>158.80000000000001</v>
      </c>
      <c r="O47">
        <v>198.9</v>
      </c>
      <c r="P47">
        <v>144.19999999999999</v>
      </c>
      <c r="Q47">
        <v>179</v>
      </c>
    </row>
    <row r="48" spans="2:17" x14ac:dyDescent="0.45">
      <c r="B48" s="6">
        <v>45597</v>
      </c>
      <c r="C48">
        <v>161.80000000000001</v>
      </c>
      <c r="D48">
        <v>191.5</v>
      </c>
      <c r="E48">
        <v>185.3</v>
      </c>
      <c r="F48">
        <v>130</v>
      </c>
      <c r="G48">
        <v>94.2</v>
      </c>
      <c r="H48">
        <v>170.4</v>
      </c>
      <c r="I48">
        <v>220.1</v>
      </c>
      <c r="J48">
        <v>151.6</v>
      </c>
      <c r="K48">
        <v>126.9</v>
      </c>
      <c r="L48">
        <v>198.3</v>
      </c>
      <c r="M48">
        <v>152.19999999999999</v>
      </c>
      <c r="N48">
        <v>158.80000000000001</v>
      </c>
      <c r="O48">
        <v>199.5</v>
      </c>
      <c r="P48">
        <v>144.19999999999999</v>
      </c>
      <c r="Q48">
        <v>179.1</v>
      </c>
    </row>
    <row r="49" spans="2:17" x14ac:dyDescent="0.45">
      <c r="B49" s="6">
        <v>45627</v>
      </c>
      <c r="C49">
        <v>161.19999999999999</v>
      </c>
      <c r="D49">
        <v>188</v>
      </c>
      <c r="E49">
        <v>185.8</v>
      </c>
      <c r="F49">
        <v>128.6</v>
      </c>
      <c r="G49">
        <v>91.4</v>
      </c>
      <c r="H49">
        <v>173.4</v>
      </c>
      <c r="I49">
        <v>218.7</v>
      </c>
      <c r="J49">
        <v>151.30000000000001</v>
      </c>
      <c r="K49">
        <v>126</v>
      </c>
      <c r="L49">
        <v>193.5</v>
      </c>
      <c r="M49">
        <v>152.1</v>
      </c>
      <c r="N49">
        <v>158.19999999999999</v>
      </c>
      <c r="O49">
        <v>199</v>
      </c>
      <c r="P49">
        <v>142.9</v>
      </c>
      <c r="Q49">
        <v>179.2</v>
      </c>
    </row>
    <row r="50" spans="2:17" x14ac:dyDescent="0.45">
      <c r="B50" s="6">
        <v>45658</v>
      </c>
      <c r="C50">
        <v>161.30000000000001</v>
      </c>
      <c r="D50">
        <v>187</v>
      </c>
      <c r="E50">
        <v>186.4</v>
      </c>
      <c r="F50">
        <v>130.5</v>
      </c>
      <c r="G50">
        <v>91.4</v>
      </c>
      <c r="H50">
        <v>173.1</v>
      </c>
      <c r="I50">
        <v>227.4</v>
      </c>
      <c r="J50">
        <v>151.1</v>
      </c>
      <c r="K50">
        <v>125.3</v>
      </c>
      <c r="L50">
        <v>192.3</v>
      </c>
      <c r="M50">
        <v>152</v>
      </c>
      <c r="N50">
        <v>157.9</v>
      </c>
      <c r="O50">
        <v>205.3</v>
      </c>
      <c r="P50">
        <v>144.4</v>
      </c>
      <c r="Q50">
        <v>177.9</v>
      </c>
    </row>
    <row r="51" spans="2:17" x14ac:dyDescent="0.45">
      <c r="B51" s="6">
        <v>45689</v>
      </c>
      <c r="C51">
        <v>163</v>
      </c>
      <c r="D51">
        <v>190.5</v>
      </c>
      <c r="E51">
        <v>186.7</v>
      </c>
      <c r="F51">
        <v>131.69999999999999</v>
      </c>
      <c r="G51">
        <v>92.9</v>
      </c>
      <c r="H51">
        <v>173.6</v>
      </c>
      <c r="I51">
        <v>228.8</v>
      </c>
      <c r="J51">
        <v>151.9</v>
      </c>
      <c r="K51">
        <v>129.6</v>
      </c>
      <c r="L51">
        <v>195.2</v>
      </c>
      <c r="M51">
        <v>153.4</v>
      </c>
      <c r="N51">
        <v>159.6</v>
      </c>
      <c r="O51">
        <v>206.4</v>
      </c>
      <c r="P51">
        <v>145.6</v>
      </c>
      <c r="Q51">
        <v>180.1</v>
      </c>
    </row>
    <row r="52" spans="2:17" x14ac:dyDescent="0.45">
      <c r="B52" s="6">
        <v>45717</v>
      </c>
      <c r="C52">
        <v>163.5</v>
      </c>
      <c r="D52">
        <v>193.8</v>
      </c>
      <c r="E52">
        <v>187</v>
      </c>
      <c r="F52">
        <v>131.30000000000001</v>
      </c>
      <c r="G52">
        <v>94.4</v>
      </c>
      <c r="H52">
        <v>173.1</v>
      </c>
      <c r="I52">
        <v>224.7</v>
      </c>
      <c r="J52">
        <v>152</v>
      </c>
      <c r="K52">
        <v>128.6</v>
      </c>
      <c r="L52">
        <v>199.7</v>
      </c>
      <c r="M52">
        <v>153.69999999999999</v>
      </c>
      <c r="N52">
        <v>160.30000000000001</v>
      </c>
      <c r="O52">
        <v>204</v>
      </c>
      <c r="P52">
        <v>146.1</v>
      </c>
      <c r="Q52">
        <v>180.6</v>
      </c>
    </row>
    <row r="53" spans="2:17" x14ac:dyDescent="0.45">
      <c r="B53" s="6">
        <v>45748</v>
      </c>
      <c r="C53">
        <v>163.4</v>
      </c>
      <c r="D53">
        <v>194.5</v>
      </c>
      <c r="E53">
        <v>186.9</v>
      </c>
      <c r="F53">
        <v>132.4</v>
      </c>
      <c r="G53">
        <v>94.2</v>
      </c>
      <c r="H53">
        <v>170.5</v>
      </c>
      <c r="I53">
        <v>201.7</v>
      </c>
      <c r="J53">
        <v>152.80000000000001</v>
      </c>
      <c r="K53">
        <v>128.4</v>
      </c>
      <c r="L53">
        <v>200</v>
      </c>
      <c r="M53">
        <v>154.4</v>
      </c>
      <c r="N53">
        <v>161.1</v>
      </c>
      <c r="O53">
        <v>187.8</v>
      </c>
      <c r="P53">
        <v>144.69999999999999</v>
      </c>
      <c r="Q53">
        <v>181.7</v>
      </c>
    </row>
    <row r="54" spans="2:17" x14ac:dyDescent="0.45">
      <c r="B54" s="6">
        <v>45778</v>
      </c>
      <c r="C54">
        <v>164.3</v>
      </c>
      <c r="D54">
        <v>195.4</v>
      </c>
      <c r="E54">
        <v>186.9</v>
      </c>
      <c r="F54">
        <v>133.1</v>
      </c>
      <c r="G54">
        <v>95.5</v>
      </c>
      <c r="H54">
        <v>171.7</v>
      </c>
      <c r="I54">
        <v>205.5</v>
      </c>
      <c r="J54">
        <v>154.4</v>
      </c>
      <c r="K54">
        <v>130.6</v>
      </c>
      <c r="L54">
        <v>200.4</v>
      </c>
      <c r="M54">
        <v>155.30000000000001</v>
      </c>
      <c r="N54">
        <v>161.9</v>
      </c>
      <c r="O54">
        <v>189.4</v>
      </c>
      <c r="P54">
        <v>145.4</v>
      </c>
      <c r="Q54">
        <v>182.9</v>
      </c>
    </row>
    <row r="55" spans="2:17" x14ac:dyDescent="0.45">
      <c r="B55" s="6">
        <v>45809</v>
      </c>
      <c r="C55">
        <v>164.4</v>
      </c>
      <c r="D55">
        <v>195.6</v>
      </c>
      <c r="E55">
        <v>187.3</v>
      </c>
      <c r="F55">
        <v>132.9</v>
      </c>
      <c r="G55">
        <v>95.1</v>
      </c>
      <c r="H55">
        <v>172.6</v>
      </c>
      <c r="I55">
        <v>204</v>
      </c>
      <c r="J55">
        <v>154.80000000000001</v>
      </c>
      <c r="K55">
        <v>129.6</v>
      </c>
      <c r="L55">
        <v>200.2</v>
      </c>
      <c r="M55">
        <v>155.4</v>
      </c>
      <c r="N55">
        <v>162.1</v>
      </c>
      <c r="O55">
        <v>188.6</v>
      </c>
      <c r="P55">
        <v>145.5</v>
      </c>
      <c r="Q55">
        <v>183</v>
      </c>
    </row>
    <row r="56" spans="2:17" x14ac:dyDescent="0.45">
      <c r="B56" s="6">
        <v>45839</v>
      </c>
      <c r="C56">
        <v>164.9</v>
      </c>
      <c r="D56">
        <v>196.8</v>
      </c>
      <c r="E56">
        <v>187.9</v>
      </c>
      <c r="F56">
        <v>133.5</v>
      </c>
      <c r="G56">
        <v>93.3</v>
      </c>
      <c r="H56">
        <v>173.3</v>
      </c>
      <c r="I56">
        <v>202.5</v>
      </c>
      <c r="J56">
        <v>155</v>
      </c>
      <c r="K56">
        <v>130.30000000000001</v>
      </c>
      <c r="L56">
        <v>200.1</v>
      </c>
      <c r="M56">
        <v>155.80000000000001</v>
      </c>
      <c r="N56">
        <v>162.6</v>
      </c>
      <c r="O56">
        <v>189.5</v>
      </c>
      <c r="P56">
        <v>145.6</v>
      </c>
      <c r="Q56">
        <v>183.8</v>
      </c>
    </row>
    <row r="57" spans="2:17" x14ac:dyDescent="0.45">
      <c r="B57" s="6">
        <v>45870</v>
      </c>
      <c r="C57">
        <v>164.8</v>
      </c>
      <c r="D57">
        <v>196.8</v>
      </c>
      <c r="E57">
        <v>188</v>
      </c>
      <c r="F57">
        <v>133.9</v>
      </c>
      <c r="G57">
        <v>93.6</v>
      </c>
      <c r="H57">
        <v>172.7</v>
      </c>
      <c r="I57">
        <v>205.4</v>
      </c>
      <c r="J57">
        <v>155.4</v>
      </c>
      <c r="K57">
        <v>128.69999999999999</v>
      </c>
      <c r="L57">
        <v>200.5</v>
      </c>
      <c r="M57">
        <v>155.5</v>
      </c>
      <c r="N57">
        <v>162.30000000000001</v>
      </c>
      <c r="O57">
        <v>191</v>
      </c>
      <c r="P57">
        <v>145.6</v>
      </c>
      <c r="Q57">
        <v>183.6</v>
      </c>
    </row>
    <row r="58" spans="2:17" x14ac:dyDescent="0.45">
      <c r="B58" s="6">
        <v>45901</v>
      </c>
      <c r="C58">
        <v>164.9</v>
      </c>
      <c r="D58">
        <v>197.5</v>
      </c>
      <c r="E58">
        <v>188.2</v>
      </c>
      <c r="F58">
        <v>134.1</v>
      </c>
      <c r="G58">
        <v>93.5</v>
      </c>
      <c r="H58">
        <v>171.8</v>
      </c>
      <c r="I58">
        <v>209.4</v>
      </c>
      <c r="J58">
        <v>155.80000000000001</v>
      </c>
      <c r="K58">
        <v>129.6</v>
      </c>
      <c r="L58">
        <v>200.8</v>
      </c>
      <c r="M58">
        <v>155.4</v>
      </c>
      <c r="N58">
        <v>162.4</v>
      </c>
      <c r="O58">
        <v>193.1</v>
      </c>
      <c r="P58">
        <v>146</v>
      </c>
      <c r="Q58">
        <v>183.5</v>
      </c>
    </row>
    <row r="59" spans="2:17" x14ac:dyDescent="0.45">
      <c r="B59" s="6">
        <v>45931</v>
      </c>
      <c r="C59">
        <v>165.3</v>
      </c>
      <c r="D59">
        <v>196.9</v>
      </c>
      <c r="E59">
        <v>189.4</v>
      </c>
      <c r="F59">
        <v>135</v>
      </c>
      <c r="G59">
        <v>94.7</v>
      </c>
      <c r="H59">
        <v>171.1</v>
      </c>
      <c r="I59">
        <v>199.4</v>
      </c>
      <c r="J59">
        <v>155.69999999999999</v>
      </c>
      <c r="K59">
        <v>130</v>
      </c>
      <c r="L59">
        <v>201</v>
      </c>
      <c r="M59">
        <v>156.5</v>
      </c>
      <c r="N59">
        <v>163.19999999999999</v>
      </c>
      <c r="O59">
        <v>186</v>
      </c>
      <c r="P59">
        <v>145.5</v>
      </c>
      <c r="Q59">
        <v>184.8</v>
      </c>
    </row>
    <row r="60" spans="2:17" x14ac:dyDescent="0.45">
      <c r="B60" s="6">
        <v>45962</v>
      </c>
      <c r="C60">
        <v>165.4</v>
      </c>
      <c r="D60">
        <v>199.5</v>
      </c>
      <c r="E60">
        <v>189.6</v>
      </c>
      <c r="F60">
        <v>134.30000000000001</v>
      </c>
      <c r="G60">
        <v>95</v>
      </c>
      <c r="H60">
        <v>171.6</v>
      </c>
      <c r="I60">
        <v>203</v>
      </c>
      <c r="J60">
        <v>156.1</v>
      </c>
      <c r="K60">
        <v>127.4</v>
      </c>
      <c r="L60">
        <v>201.1</v>
      </c>
      <c r="M60">
        <v>155.9</v>
      </c>
      <c r="N60">
        <v>163.1</v>
      </c>
      <c r="O60">
        <v>189.4</v>
      </c>
      <c r="P60">
        <v>146.4</v>
      </c>
      <c r="Q60">
        <v>184.2</v>
      </c>
    </row>
    <row r="61" spans="2:17" x14ac:dyDescent="0.45">
      <c r="B61" s="6">
        <v>45992</v>
      </c>
      <c r="C61">
        <v>165</v>
      </c>
      <c r="D61">
        <v>199.7</v>
      </c>
      <c r="E61">
        <v>189.7</v>
      </c>
      <c r="F61">
        <v>133.19999999999999</v>
      </c>
      <c r="G61">
        <v>91.9</v>
      </c>
      <c r="H61">
        <v>172.6</v>
      </c>
      <c r="I61">
        <v>188.6</v>
      </c>
      <c r="J61">
        <v>155.69999999999999</v>
      </c>
      <c r="K61">
        <v>126.2</v>
      </c>
      <c r="L61">
        <v>200.4</v>
      </c>
      <c r="M61">
        <v>155.9</v>
      </c>
      <c r="N61">
        <v>163.1</v>
      </c>
      <c r="O61">
        <v>181.5</v>
      </c>
      <c r="P61">
        <v>144.6</v>
      </c>
      <c r="Q61">
        <v>185.1</v>
      </c>
    </row>
    <row r="62" spans="2:17" x14ac:dyDescent="0.45">
      <c r="B62" s="6">
        <v>46023</v>
      </c>
      <c r="C62">
        <v>165</v>
      </c>
      <c r="D62">
        <v>200.7</v>
      </c>
      <c r="E62">
        <v>189.6</v>
      </c>
      <c r="F62">
        <v>133.69999999999999</v>
      </c>
      <c r="G62">
        <v>92.1</v>
      </c>
      <c r="H62">
        <v>170.2</v>
      </c>
      <c r="I62">
        <v>189.5</v>
      </c>
      <c r="J62">
        <v>156.1</v>
      </c>
      <c r="K62">
        <v>126.6</v>
      </c>
      <c r="L62">
        <v>201.6</v>
      </c>
      <c r="M62">
        <v>155.6</v>
      </c>
      <c r="N62">
        <v>163</v>
      </c>
      <c r="O62">
        <v>183</v>
      </c>
      <c r="P62">
        <v>145.69999999999999</v>
      </c>
      <c r="Q62">
        <v>183.9</v>
      </c>
    </row>
    <row r="63" spans="2:17" x14ac:dyDescent="0.45">
      <c r="B63" s="6">
        <v>46054</v>
      </c>
      <c r="C63">
        <v>165.9</v>
      </c>
      <c r="D63">
        <v>200.8</v>
      </c>
      <c r="E63">
        <v>189.5</v>
      </c>
      <c r="F63">
        <v>133.30000000000001</v>
      </c>
      <c r="G63">
        <v>93.7</v>
      </c>
      <c r="H63">
        <v>172.2</v>
      </c>
      <c r="I63">
        <v>196.3</v>
      </c>
      <c r="J63">
        <v>156.69999999999999</v>
      </c>
      <c r="K63">
        <v>130.19999999999999</v>
      </c>
      <c r="L63">
        <v>202</v>
      </c>
      <c r="M63">
        <v>156.4</v>
      </c>
      <c r="N63">
        <v>163.69999999999999</v>
      </c>
      <c r="O63">
        <v>187.3</v>
      </c>
      <c r="P63">
        <v>146.4</v>
      </c>
      <c r="Q63">
        <v>185</v>
      </c>
    </row>
    <row r="64" spans="2:17" x14ac:dyDescent="0.45">
      <c r="B64" s="6">
        <v>46082</v>
      </c>
      <c r="C64">
        <v>167.4</v>
      </c>
      <c r="D64">
        <v>201.5</v>
      </c>
      <c r="E64">
        <v>190.1</v>
      </c>
      <c r="F64">
        <v>132.1</v>
      </c>
      <c r="G64">
        <v>94</v>
      </c>
      <c r="H64">
        <v>179.5</v>
      </c>
      <c r="I64">
        <v>238</v>
      </c>
      <c r="J64">
        <v>157</v>
      </c>
      <c r="K64">
        <v>132</v>
      </c>
      <c r="L64">
        <v>202.2</v>
      </c>
      <c r="M64">
        <v>156.6</v>
      </c>
      <c r="N64">
        <v>164</v>
      </c>
      <c r="O64">
        <v>211.9</v>
      </c>
      <c r="P64">
        <v>149.19999999999999</v>
      </c>
      <c r="Q64">
        <v>185.2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sibley-pipe</vt:lpstr>
      <vt:lpstr>statcan-nsa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Zhao-Murray</cp:lastModifiedBy>
  <dcterms:created xsi:type="dcterms:W3CDTF">2026-05-19T00:21:08Z</dcterms:created>
  <dcterms:modified xsi:type="dcterms:W3CDTF">2026-05-22T21:40:54Z</dcterms:modified>
</cp:coreProperties>
</file>