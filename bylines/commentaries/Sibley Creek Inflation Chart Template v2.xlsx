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15171A"/>
      <sz val="11"/>
    </font>
    <font>
      <name val="Calibri"/>
      <i val="1"/>
      <color rgb="006B6F76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MONTH-OVER-MONTH, %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5171A"/>
            </a:solidFill>
            <a:ln xmlns:a="http://schemas.openxmlformats.org/drawingml/2006/main">
              <a:solidFill>
                <a:srgbClr val="15171A"/>
              </a:solidFill>
              <a:prstDash val="solid"/>
            </a:ln>
          </spPr>
          <dPt>
            <idx val="23"/>
            <spPr>
              <a:solidFill xmlns:a="http://schemas.openxmlformats.org/drawingml/2006/main">
                <a:srgbClr val="C8102E"/>
              </a:solidFill>
              <a:ln xmlns:a="http://schemas.openxmlformats.org/drawingml/2006/main">
                <a:solidFill>
                  <a:srgbClr val="C8102E"/>
                </a:solidFill>
                <a:prstDash val="solid"/>
              </a:ln>
            </spPr>
          </dPt>
          <cat>
            <numRef>
              <f>'Data'!$A$37:$A$60</f>
            </numRef>
          </cat>
          <val>
            <numRef>
              <f>'Data'!$E$37:$E$60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15171A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numFmt formatCode="0&quot;%&quot;" sourceLinked="0"/>
        <majorTickMark val="none"/>
        <minorTickMark val="none"/>
        <spPr>
          <a:ln xmlns:a="http://schemas.openxmlformats.org/drawingml/2006/main" w="9525">
            <a:solidFill>
              <a:srgbClr val="15171A"/>
            </a:solidFill>
            <a:prstDash val="solid"/>
          </a:ln>
        </spPr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YEAR-OVER-YEAR + 3M AR, %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2000" cap="flat">
              <a:solidFill>
                <a:srgbClr val="15171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35"/>
            <marker>
              <symbol val="circle"/>
              <size val="7"/>
              <spPr>
                <a:solidFill xmlns:a="http://schemas.openxmlformats.org/drawingml/2006/main">
                  <a:srgbClr val="C8102E"/>
                </a:solidFill>
                <a:ln xmlns:a="http://schemas.openxmlformats.org/drawingml/2006/main">
                  <a:solidFill>
                    <a:srgbClr val="C8102E"/>
                  </a:solidFill>
                  <a:prstDash val="solid"/>
                </a:ln>
              </spPr>
            </marker>
            <spPr>
              <a:ln xmlns:a="http://schemas.openxmlformats.org/drawingml/2006/main">
                <a:prstDash val="solid"/>
              </a:ln>
            </spPr>
          </dPt>
          <cat>
            <numRef>
              <f>'Data'!$A$26:$A$61</f>
            </numRef>
          </cat>
          <val>
            <numRef>
              <f>'Data'!$D$26:$D$61</f>
            </numRef>
          </val>
          <smooth val="0"/>
        </ser>
        <ser>
          <idx val="1"/>
          <order val="1"/>
          <spPr>
            <a:ln xmlns:a="http://schemas.openxmlformats.org/drawingml/2006/main" w="12700" cap="flat">
              <a:solidFill>
                <a:srgbClr val="15171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'Data'!$A$26:$A$61</f>
            </numRef>
          </cat>
          <val>
            <numRef>
              <f>'Data'!$F$26:$F$61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15171A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numFmt formatCode="0&quot;%&quot;" sourceLinked="0"/>
        <majorTickMark val="none"/>
        <minorTickMark val="none"/>
        <spPr>
          <a:ln xmlns:a="http://schemas.openxmlformats.org/drawingml/2006/main" w="9525">
            <a:solidFill>
              <a:srgbClr val="15171A"/>
            </a:solidFill>
            <a:prstDash val="solid"/>
          </a:ln>
        </sp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76200</rowOff>
    </from>
    <ext cx="4000500" cy="2762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4152900</colOff>
      <row>0</row>
      <rowOff>76200</rowOff>
    </from>
    <ext cx="4000500" cy="27622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NSA Level</t>
        </is>
      </c>
      <c r="C1" s="1" t="inlineStr">
        <is>
          <t>SA Level</t>
        </is>
      </c>
      <c r="D1" s="1" t="inlineStr">
        <is>
          <t>Y/Y (%)</t>
        </is>
      </c>
      <c r="E1" s="1" t="inlineStr">
        <is>
          <t>m/m (%)</t>
        </is>
      </c>
      <c r="F1" s="1" t="inlineStr">
        <is>
          <t>3M AR (%)</t>
        </is>
      </c>
    </row>
    <row r="2">
      <c r="A2" s="2" t="n">
        <v>44317</v>
      </c>
      <c r="B2" s="3" t="n">
        <v>141</v>
      </c>
      <c r="C2" s="3" t="n">
        <v>140.3</v>
      </c>
    </row>
    <row r="3">
      <c r="A3" s="2" t="n">
        <v>44348</v>
      </c>
      <c r="B3" s="3" t="n">
        <v>141.4</v>
      </c>
      <c r="C3" s="3" t="n">
        <v>140.7</v>
      </c>
      <c r="E3" s="4">
        <f>IF(OR(C3="",C2=""),NA(),(C3/C2-1)*100)</f>
        <v/>
      </c>
    </row>
    <row r="4">
      <c r="A4" s="2" t="n">
        <v>44378</v>
      </c>
      <c r="B4" s="3" t="n">
        <v>142.3</v>
      </c>
      <c r="C4" s="3" t="n">
        <v>141.4</v>
      </c>
      <c r="E4" s="4">
        <f>IF(OR(C4="",C3=""),NA(),(C4/C3-1)*100)</f>
        <v/>
      </c>
    </row>
    <row r="5">
      <c r="A5" s="2" t="n">
        <v>44409</v>
      </c>
      <c r="B5" s="3" t="n">
        <v>142.6</v>
      </c>
      <c r="C5" s="3" t="n">
        <v>142.3</v>
      </c>
      <c r="E5" s="4">
        <f>IF(OR(C5="",C4=""),NA(),(C5/C4-1)*100)</f>
        <v/>
      </c>
      <c r="F5" s="4">
        <f>IF(OR(C5="",C2=""),NA(),((C5/C2)^4-1)*100)</f>
        <v/>
      </c>
    </row>
    <row r="6">
      <c r="A6" s="2" t="n">
        <v>44440</v>
      </c>
      <c r="B6" s="3" t="n">
        <v>142.9</v>
      </c>
      <c r="C6" s="3" t="n">
        <v>143.1</v>
      </c>
      <c r="E6" s="4">
        <f>IF(OR(C6="",C5=""),NA(),(C6/C5-1)*100)</f>
        <v/>
      </c>
      <c r="F6" s="4">
        <f>IF(OR(C6="",C3=""),NA(),((C6/C3)^4-1)*100)</f>
        <v/>
      </c>
    </row>
    <row r="7">
      <c r="A7" s="2" t="n">
        <v>44470</v>
      </c>
      <c r="B7" s="3" t="n">
        <v>143.9</v>
      </c>
      <c r="C7" s="3" t="n">
        <v>143.9</v>
      </c>
      <c r="E7" s="4">
        <f>IF(OR(C7="",C6=""),NA(),(C7/C6-1)*100)</f>
        <v/>
      </c>
      <c r="F7" s="4">
        <f>IF(OR(C7="",C4=""),NA(),((C7/C4)^4-1)*100)</f>
        <v/>
      </c>
    </row>
    <row r="8">
      <c r="A8" s="2" t="n">
        <v>44501</v>
      </c>
      <c r="B8" s="3" t="n">
        <v>144.2</v>
      </c>
      <c r="C8" s="3" t="n">
        <v>144.5</v>
      </c>
      <c r="E8" s="4">
        <f>IF(OR(C8="",C7=""),NA(),(C8/C7-1)*100)</f>
        <v/>
      </c>
      <c r="F8" s="4">
        <f>IF(OR(C8="",C5=""),NA(),((C8/C5)^4-1)*100)</f>
        <v/>
      </c>
    </row>
    <row r="9">
      <c r="A9" s="2" t="n">
        <v>44531</v>
      </c>
      <c r="B9" s="3" t="n">
        <v>144</v>
      </c>
      <c r="C9" s="3" t="n">
        <v>145.2</v>
      </c>
      <c r="E9" s="4">
        <f>IF(OR(C9="",C8=""),NA(),(C9/C8-1)*100)</f>
        <v/>
      </c>
      <c r="F9" s="4">
        <f>IF(OR(C9="",C6=""),NA(),((C9/C6)^4-1)*100)</f>
        <v/>
      </c>
    </row>
    <row r="10">
      <c r="A10" s="2" t="n">
        <v>44562</v>
      </c>
      <c r="B10" s="3" t="n">
        <v>145.3</v>
      </c>
      <c r="C10" s="3" t="n">
        <v>146.3</v>
      </c>
      <c r="E10" s="4">
        <f>IF(OR(C10="",C9=""),NA(),(C10/C9-1)*100)</f>
        <v/>
      </c>
      <c r="F10" s="4">
        <f>IF(OR(C10="",C7=""),NA(),((C10/C7)^4-1)*100)</f>
        <v/>
      </c>
    </row>
    <row r="11">
      <c r="A11" s="2" t="n">
        <v>44593</v>
      </c>
      <c r="B11" s="3" t="n">
        <v>146.8</v>
      </c>
      <c r="C11" s="3" t="n">
        <v>147.3</v>
      </c>
      <c r="E11" s="4">
        <f>IF(OR(C11="",C10=""),NA(),(C11/C10-1)*100)</f>
        <v/>
      </c>
      <c r="F11" s="4">
        <f>IF(OR(C11="",C8=""),NA(),((C11/C8)^4-1)*100)</f>
        <v/>
      </c>
    </row>
    <row r="12">
      <c r="A12" s="2" t="n">
        <v>44621</v>
      </c>
      <c r="B12" s="3" t="n">
        <v>148.9</v>
      </c>
      <c r="C12" s="3" t="n">
        <v>148.9</v>
      </c>
      <c r="E12" s="4">
        <f>IF(OR(C12="",C11=""),NA(),(C12/C11-1)*100)</f>
        <v/>
      </c>
      <c r="F12" s="4">
        <f>IF(OR(C12="",C9=""),NA(),((C12/C9)^4-1)*100)</f>
        <v/>
      </c>
    </row>
    <row r="13">
      <c r="A13" s="2" t="n">
        <v>44652</v>
      </c>
      <c r="B13" s="3" t="n">
        <v>149.8</v>
      </c>
      <c r="C13" s="3" t="n">
        <v>149.4</v>
      </c>
      <c r="E13" s="4">
        <f>IF(OR(C13="",C12=""),NA(),(C13/C12-1)*100)</f>
        <v/>
      </c>
      <c r="F13" s="4">
        <f>IF(OR(C13="",C10=""),NA(),((C13/C10)^4-1)*100)</f>
        <v/>
      </c>
    </row>
    <row r="14">
      <c r="A14" s="2" t="n">
        <v>44682</v>
      </c>
      <c r="B14" s="3" t="n">
        <v>151.9</v>
      </c>
      <c r="C14" s="3" t="n">
        <v>151.1</v>
      </c>
      <c r="D14" s="4">
        <f>IF(OR(B14="",B2=""),NA(),(B14/B2-1)*100)</f>
        <v/>
      </c>
      <c r="E14" s="4">
        <f>IF(OR(C14="",C13=""),NA(),(C14/C13-1)*100)</f>
        <v/>
      </c>
      <c r="F14" s="4">
        <f>IF(OR(C14="",C11=""),NA(),((C14/C11)^4-1)*100)</f>
        <v/>
      </c>
    </row>
    <row r="15">
      <c r="A15" s="2" t="n">
        <v>44713</v>
      </c>
      <c r="B15" s="3" t="n">
        <v>152.9</v>
      </c>
      <c r="C15" s="3" t="n">
        <v>152.2</v>
      </c>
      <c r="D15" s="4">
        <f>IF(OR(B15="",B3=""),NA(),(B15/B3-1)*100)</f>
        <v/>
      </c>
      <c r="E15" s="4">
        <f>IF(OR(C15="",C14=""),NA(),(C15/C14-1)*100)</f>
        <v/>
      </c>
      <c r="F15" s="4">
        <f>IF(OR(C15="",C12=""),NA(),((C15/C12)^4-1)*100)</f>
        <v/>
      </c>
    </row>
    <row r="16">
      <c r="A16" s="2" t="n">
        <v>44743</v>
      </c>
      <c r="B16" s="3" t="n">
        <v>153.1</v>
      </c>
      <c r="C16" s="3" t="n">
        <v>152.2</v>
      </c>
      <c r="D16" s="4">
        <f>IF(OR(B16="",B4=""),NA(),(B16/B4-1)*100)</f>
        <v/>
      </c>
      <c r="E16" s="4">
        <f>IF(OR(C16="",C15=""),NA(),(C16/C15-1)*100)</f>
        <v/>
      </c>
      <c r="F16" s="4">
        <f>IF(OR(C16="",C13=""),NA(),((C16/C13)^4-1)*100)</f>
        <v/>
      </c>
    </row>
    <row r="17">
      <c r="A17" s="2" t="n">
        <v>44774</v>
      </c>
      <c r="B17" s="3" t="n">
        <v>152.6</v>
      </c>
      <c r="C17" s="3" t="n">
        <v>152.1</v>
      </c>
      <c r="D17" s="4">
        <f>IF(OR(B17="",B5=""),NA(),(B17/B5-1)*100)</f>
        <v/>
      </c>
      <c r="E17" s="4">
        <f>IF(OR(C17="",C16=""),NA(),(C17/C16-1)*100)</f>
        <v/>
      </c>
      <c r="F17" s="4">
        <f>IF(OR(C17="",C14=""),NA(),((C17/C14)^4-1)*100)</f>
        <v/>
      </c>
    </row>
    <row r="18">
      <c r="A18" s="2" t="n">
        <v>44805</v>
      </c>
      <c r="B18" s="3" t="n">
        <v>152.7</v>
      </c>
      <c r="C18" s="3" t="n">
        <v>152.8</v>
      </c>
      <c r="D18" s="4">
        <f>IF(OR(B18="",B6=""),NA(),(B18/B6-1)*100)</f>
        <v/>
      </c>
      <c r="E18" s="4">
        <f>IF(OR(C18="",C17=""),NA(),(C18/C17-1)*100)</f>
        <v/>
      </c>
      <c r="F18" s="4">
        <f>IF(OR(C18="",C15=""),NA(),((C18/C15)^4-1)*100)</f>
        <v/>
      </c>
    </row>
    <row r="19">
      <c r="A19" s="2" t="n">
        <v>44835</v>
      </c>
      <c r="B19" s="3" t="n">
        <v>153.8</v>
      </c>
      <c r="C19" s="3" t="n">
        <v>153.7</v>
      </c>
      <c r="D19" s="4">
        <f>IF(OR(B19="",B7=""),NA(),(B19/B7-1)*100)</f>
        <v/>
      </c>
      <c r="E19" s="4">
        <f>IF(OR(C19="",C18=""),NA(),(C19/C18-1)*100)</f>
        <v/>
      </c>
      <c r="F19" s="4">
        <f>IF(OR(C19="",C16=""),NA(),((C19/C16)^4-1)*100)</f>
        <v/>
      </c>
    </row>
    <row r="20">
      <c r="A20" s="2" t="n">
        <v>44866</v>
      </c>
      <c r="B20" s="3" t="n">
        <v>154</v>
      </c>
      <c r="C20" s="3" t="n">
        <v>154.3</v>
      </c>
      <c r="D20" s="4">
        <f>IF(OR(B20="",B8=""),NA(),(B20/B8-1)*100)</f>
        <v/>
      </c>
      <c r="E20" s="4">
        <f>IF(OR(C20="",C19=""),NA(),(C20/C19-1)*100)</f>
        <v/>
      </c>
      <c r="F20" s="4">
        <f>IF(OR(C20="",C17=""),NA(),((C20/C17)^4-1)*100)</f>
        <v/>
      </c>
    </row>
    <row r="21">
      <c r="A21" s="2" t="n">
        <v>44896</v>
      </c>
      <c r="B21" s="3" t="n">
        <v>153.1</v>
      </c>
      <c r="C21" s="3" t="n">
        <v>154.2</v>
      </c>
      <c r="D21" s="4">
        <f>IF(OR(B21="",B9=""),NA(),(B21/B9-1)*100)</f>
        <v/>
      </c>
      <c r="E21" s="4">
        <f>IF(OR(C21="",C20=""),NA(),(C21/C20-1)*100)</f>
        <v/>
      </c>
      <c r="F21" s="4">
        <f>IF(OR(C21="",C18=""),NA(),((C21/C18)^4-1)*100)</f>
        <v/>
      </c>
    </row>
    <row r="22">
      <c r="A22" s="2" t="n">
        <v>44927</v>
      </c>
      <c r="B22" s="3" t="n">
        <v>153.9</v>
      </c>
      <c r="C22" s="3" t="n">
        <v>154.9</v>
      </c>
      <c r="D22" s="4">
        <f>IF(OR(B22="",B10=""),NA(),(B22/B10-1)*100)</f>
        <v/>
      </c>
      <c r="E22" s="4">
        <f>IF(OR(C22="",C21=""),NA(),(C22/C21-1)*100)</f>
        <v/>
      </c>
      <c r="F22" s="4">
        <f>IF(OR(C22="",C19=""),NA(),((C22/C19)^4-1)*100)</f>
        <v/>
      </c>
    </row>
    <row r="23">
      <c r="A23" s="2" t="n">
        <v>44958</v>
      </c>
      <c r="B23" s="3" t="n">
        <v>154.5</v>
      </c>
      <c r="C23" s="3" t="n">
        <v>155.1</v>
      </c>
      <c r="D23" s="4">
        <f>IF(OR(B23="",B11=""),NA(),(B23/B11-1)*100)</f>
        <v/>
      </c>
      <c r="E23" s="4">
        <f>IF(OR(C23="",C22=""),NA(),(C23/C22-1)*100)</f>
        <v/>
      </c>
      <c r="F23" s="4">
        <f>IF(OR(C23="",C20=""),NA(),((C23/C20)^4-1)*100)</f>
        <v/>
      </c>
    </row>
    <row r="24">
      <c r="A24" s="2" t="n">
        <v>44986</v>
      </c>
      <c r="B24" s="3" t="n">
        <v>155.3</v>
      </c>
      <c r="C24" s="3" t="n">
        <v>155.3</v>
      </c>
      <c r="D24" s="4">
        <f>IF(OR(B24="",B12=""),NA(),(B24/B12-1)*100)</f>
        <v/>
      </c>
      <c r="E24" s="4">
        <f>IF(OR(C24="",C23=""),NA(),(C24/C23-1)*100)</f>
        <v/>
      </c>
      <c r="F24" s="4">
        <f>IF(OR(C24="",C21=""),NA(),((C24/C21)^4-1)*100)</f>
        <v/>
      </c>
    </row>
    <row r="25">
      <c r="A25" s="2" t="n">
        <v>45017</v>
      </c>
      <c r="B25" s="3" t="n">
        <v>156.4</v>
      </c>
      <c r="C25" s="3" t="n">
        <v>156.1</v>
      </c>
      <c r="D25" s="4">
        <f>IF(OR(B25="",B13=""),NA(),(B25/B13-1)*100)</f>
        <v/>
      </c>
      <c r="E25" s="4">
        <f>IF(OR(C25="",C24=""),NA(),(C25/C24-1)*100)</f>
        <v/>
      </c>
      <c r="F25" s="4">
        <f>IF(OR(C25="",C22=""),NA(),((C25/C22)^4-1)*100)</f>
        <v/>
      </c>
    </row>
    <row r="26">
      <c r="A26" s="2" t="n">
        <v>45047</v>
      </c>
      <c r="B26" s="3" t="n">
        <v>157</v>
      </c>
      <c r="C26" s="3" t="n">
        <v>156.2</v>
      </c>
      <c r="D26" s="4">
        <f>IF(OR(B26="",B14=""),NA(),(B26/B14-1)*100)</f>
        <v/>
      </c>
      <c r="E26" s="4">
        <f>IF(OR(C26="",C25=""),NA(),(C26/C25-1)*100)</f>
        <v/>
      </c>
      <c r="F26" s="4">
        <f>IF(OR(C26="",C23=""),NA(),((C26/C23)^4-1)*100)</f>
        <v/>
      </c>
    </row>
    <row r="27">
      <c r="A27" s="2" t="n">
        <v>45078</v>
      </c>
      <c r="B27" s="3" t="n">
        <v>157.2</v>
      </c>
      <c r="C27" s="3" t="n">
        <v>156.6</v>
      </c>
      <c r="D27" s="4">
        <f>IF(OR(B27="",B15=""),NA(),(B27/B15-1)*100)</f>
        <v/>
      </c>
      <c r="E27" s="4">
        <f>IF(OR(C27="",C26=""),NA(),(C27/C26-1)*100)</f>
        <v/>
      </c>
      <c r="F27" s="4">
        <f>IF(OR(C27="",C24=""),NA(),((C27/C24)^4-1)*100)</f>
        <v/>
      </c>
    </row>
    <row r="28">
      <c r="A28" s="2" t="n">
        <v>45108</v>
      </c>
      <c r="B28" s="3" t="n">
        <v>158.1</v>
      </c>
      <c r="C28" s="3" t="n">
        <v>157.2</v>
      </c>
      <c r="D28" s="4">
        <f>IF(OR(B28="",B16=""),NA(),(B28/B16-1)*100)</f>
        <v/>
      </c>
      <c r="E28" s="4">
        <f>IF(OR(C28="",C27=""),NA(),(C28/C27-1)*100)</f>
        <v/>
      </c>
      <c r="F28" s="4">
        <f>IF(OR(C28="",C25=""),NA(),((C28/C25)^4-1)*100)</f>
        <v/>
      </c>
    </row>
    <row r="29">
      <c r="A29" s="2" t="n">
        <v>45139</v>
      </c>
      <c r="B29" s="3" t="n">
        <v>158.7</v>
      </c>
      <c r="C29" s="3" t="n">
        <v>158.3</v>
      </c>
      <c r="D29" s="4">
        <f>IF(OR(B29="",B17=""),NA(),(B29/B17-1)*100)</f>
        <v/>
      </c>
      <c r="E29" s="4">
        <f>IF(OR(C29="",C28=""),NA(),(C29/C28-1)*100)</f>
        <v/>
      </c>
      <c r="F29" s="4">
        <f>IF(OR(C29="",C26=""),NA(),((C29/C26)^4-1)*100)</f>
        <v/>
      </c>
    </row>
    <row r="30">
      <c r="A30" s="2" t="n">
        <v>45170</v>
      </c>
      <c r="B30" s="3" t="n">
        <v>158.5</v>
      </c>
      <c r="C30" s="3" t="n">
        <v>158.6</v>
      </c>
      <c r="D30" s="4">
        <f>IF(OR(B30="",B18=""),NA(),(B30/B18-1)*100)</f>
        <v/>
      </c>
      <c r="E30" s="4">
        <f>IF(OR(C30="",C29=""),NA(),(C30/C29-1)*100)</f>
        <v/>
      </c>
      <c r="F30" s="4">
        <f>IF(OR(C30="",C27=""),NA(),((C30/C27)^4-1)*100)</f>
        <v/>
      </c>
    </row>
    <row r="31">
      <c r="A31" s="2" t="n">
        <v>45200</v>
      </c>
      <c r="B31" s="3" t="n">
        <v>158.6</v>
      </c>
      <c r="C31" s="3" t="n">
        <v>158.5</v>
      </c>
      <c r="D31" s="4">
        <f>IF(OR(B31="",B19=""),NA(),(B31/B19-1)*100)</f>
        <v/>
      </c>
      <c r="E31" s="4">
        <f>IF(OR(C31="",C30=""),NA(),(C31/C30-1)*100)</f>
        <v/>
      </c>
      <c r="F31" s="4">
        <f>IF(OR(C31="",C28=""),NA(),((C31/C28)^4-1)*100)</f>
        <v/>
      </c>
    </row>
    <row r="32">
      <c r="A32" s="2" t="n">
        <v>45231</v>
      </c>
      <c r="B32" s="3" t="n">
        <v>158.8</v>
      </c>
      <c r="C32" s="3" t="n">
        <v>159</v>
      </c>
      <c r="D32" s="4">
        <f>IF(OR(B32="",B20=""),NA(),(B32/B20-1)*100)</f>
        <v/>
      </c>
      <c r="E32" s="4">
        <f>IF(OR(C32="",C31=""),NA(),(C32/C31-1)*100)</f>
        <v/>
      </c>
      <c r="F32" s="4">
        <f>IF(OR(C32="",C29=""),NA(),((C32/C29)^4-1)*100)</f>
        <v/>
      </c>
    </row>
    <row r="33">
      <c r="A33" s="2" t="n">
        <v>45261</v>
      </c>
      <c r="B33" s="3" t="n">
        <v>158.3</v>
      </c>
      <c r="C33" s="3" t="n">
        <v>159.4</v>
      </c>
      <c r="D33" s="4">
        <f>IF(OR(B33="",B21=""),NA(),(B33/B21-1)*100)</f>
        <v/>
      </c>
      <c r="E33" s="4">
        <f>IF(OR(C33="",C32=""),NA(),(C33/C32-1)*100)</f>
        <v/>
      </c>
      <c r="F33" s="4">
        <f>IF(OR(C33="",C30=""),NA(),((C33/C30)^4-1)*100)</f>
        <v/>
      </c>
    </row>
    <row r="34">
      <c r="A34" s="2" t="n">
        <v>45292</v>
      </c>
      <c r="B34" s="3" t="n">
        <v>158.3</v>
      </c>
      <c r="C34" s="3" t="n">
        <v>159.4</v>
      </c>
      <c r="D34" s="4">
        <f>IF(OR(B34="",B22=""),NA(),(B34/B22-1)*100)</f>
        <v/>
      </c>
      <c r="E34" s="4">
        <f>IF(OR(C34="",C33=""),NA(),(C34/C33-1)*100)</f>
        <v/>
      </c>
      <c r="F34" s="4">
        <f>IF(OR(C34="",C31=""),NA(),((C34/C31)^4-1)*100)</f>
        <v/>
      </c>
    </row>
    <row r="35">
      <c r="A35" s="2" t="n">
        <v>45323</v>
      </c>
      <c r="B35" s="3" t="n">
        <v>158.8</v>
      </c>
      <c r="C35" s="3" t="n">
        <v>159.4</v>
      </c>
      <c r="D35" s="4">
        <f>IF(OR(B35="",B23=""),NA(),(B35/B23-1)*100)</f>
        <v/>
      </c>
      <c r="E35" s="4">
        <f>IF(OR(C35="",C34=""),NA(),(C35/C34-1)*100)</f>
        <v/>
      </c>
      <c r="F35" s="4">
        <f>IF(OR(C35="",C32=""),NA(),((C35/C32)^4-1)*100)</f>
        <v/>
      </c>
    </row>
    <row r="36">
      <c r="A36" s="2" t="n">
        <v>45352</v>
      </c>
      <c r="B36" s="3" t="n">
        <v>159.8</v>
      </c>
      <c r="C36" s="3" t="n">
        <v>159.8</v>
      </c>
      <c r="D36" s="4">
        <f>IF(OR(B36="",B24=""),NA(),(B36/B24-1)*100)</f>
        <v/>
      </c>
      <c r="E36" s="4">
        <f>IF(OR(C36="",C35=""),NA(),(C36/C35-1)*100)</f>
        <v/>
      </c>
      <c r="F36" s="4">
        <f>IF(OR(C36="",C33=""),NA(),((C36/C33)^4-1)*100)</f>
        <v/>
      </c>
    </row>
    <row r="37">
      <c r="A37" s="2" t="n">
        <v>45383</v>
      </c>
      <c r="B37" s="3" t="n">
        <v>160.6</v>
      </c>
      <c r="C37" s="3" t="n">
        <v>160.3</v>
      </c>
      <c r="D37" s="4">
        <f>IF(OR(B37="",B25=""),NA(),(B37/B25-1)*100)</f>
        <v/>
      </c>
      <c r="E37" s="4">
        <f>IF(OR(C37="",C36=""),NA(),(C37/C36-1)*100)</f>
        <v/>
      </c>
      <c r="F37" s="4">
        <f>IF(OR(C37="",C34=""),NA(),((C37/C34)^4-1)*100)</f>
        <v/>
      </c>
    </row>
    <row r="38">
      <c r="A38" s="2" t="n">
        <v>45413</v>
      </c>
      <c r="B38" s="3" t="n">
        <v>161.5</v>
      </c>
      <c r="C38" s="3" t="n">
        <v>160.7</v>
      </c>
      <c r="D38" s="4">
        <f>IF(OR(B38="",B26=""),NA(),(B38/B26-1)*100)</f>
        <v/>
      </c>
      <c r="E38" s="4">
        <f>IF(OR(C38="",C37=""),NA(),(C38/C37-1)*100)</f>
        <v/>
      </c>
      <c r="F38" s="4">
        <f>IF(OR(C38="",C35=""),NA(),((C38/C35)^4-1)*100)</f>
        <v/>
      </c>
    </row>
    <row r="39">
      <c r="A39" s="2" t="n">
        <v>45444</v>
      </c>
      <c r="B39" s="3" t="n">
        <v>161.4</v>
      </c>
      <c r="C39" s="3" t="n">
        <v>160.8</v>
      </c>
      <c r="D39" s="4">
        <f>IF(OR(B39="",B27=""),NA(),(B39/B27-1)*100)</f>
        <v/>
      </c>
      <c r="E39" s="4">
        <f>IF(OR(C39="",C38=""),NA(),(C39/C38-1)*100)</f>
        <v/>
      </c>
      <c r="F39" s="4">
        <f>IF(OR(C39="",C36=""),NA(),((C39/C36)^4-1)*100)</f>
        <v/>
      </c>
    </row>
    <row r="40">
      <c r="A40" s="2" t="n">
        <v>45474</v>
      </c>
      <c r="B40" s="3" t="n">
        <v>162.1</v>
      </c>
      <c r="C40" s="3" t="n">
        <v>161.2</v>
      </c>
      <c r="D40" s="4">
        <f>IF(OR(B40="",B28=""),NA(),(B40/B28-1)*100)</f>
        <v/>
      </c>
      <c r="E40" s="4">
        <f>IF(OR(C40="",C39=""),NA(),(C40/C39-1)*100)</f>
        <v/>
      </c>
      <c r="F40" s="4">
        <f>IF(OR(C40="",C37=""),NA(),((C40/C37)^4-1)*100)</f>
        <v/>
      </c>
    </row>
    <row r="41">
      <c r="A41" s="2" t="n">
        <v>45505</v>
      </c>
      <c r="B41" s="3" t="n">
        <v>161.8</v>
      </c>
      <c r="C41" s="3" t="n">
        <v>161.3</v>
      </c>
      <c r="D41" s="4">
        <f>IF(OR(B41="",B29=""),NA(),(B41/B29-1)*100)</f>
        <v/>
      </c>
      <c r="E41" s="4">
        <f>IF(OR(C41="",C40=""),NA(),(C41/C40-1)*100)</f>
        <v/>
      </c>
      <c r="F41" s="4">
        <f>IF(OR(C41="",C38=""),NA(),((C41/C38)^4-1)*100)</f>
        <v/>
      </c>
    </row>
    <row r="42">
      <c r="A42" s="2" t="n">
        <v>45536</v>
      </c>
      <c r="B42" s="3" t="n">
        <v>161.1</v>
      </c>
      <c r="C42" s="3" t="n">
        <v>161.2</v>
      </c>
      <c r="D42" s="4">
        <f>IF(OR(B42="",B30=""),NA(),(B42/B30-1)*100)</f>
        <v/>
      </c>
      <c r="E42" s="4">
        <f>IF(OR(C42="",C41=""),NA(),(C42/C41-1)*100)</f>
        <v/>
      </c>
      <c r="F42" s="4">
        <f>IF(OR(C42="",C39=""),NA(),((C42/C39)^4-1)*100)</f>
        <v/>
      </c>
    </row>
    <row r="43">
      <c r="A43" s="2" t="n">
        <v>45566</v>
      </c>
      <c r="B43" s="3" t="n">
        <v>161.8</v>
      </c>
      <c r="C43" s="3" t="n">
        <v>161.7</v>
      </c>
      <c r="D43" s="4">
        <f>IF(OR(B43="",B31=""),NA(),(B43/B31-1)*100)</f>
        <v/>
      </c>
      <c r="E43" s="4">
        <f>IF(OR(C43="",C42=""),NA(),(C43/C42-1)*100)</f>
        <v/>
      </c>
      <c r="F43" s="4">
        <f>IF(OR(C43="",C40=""),NA(),((C43/C40)^4-1)*100)</f>
        <v/>
      </c>
    </row>
    <row r="44">
      <c r="A44" s="2" t="n">
        <v>45597</v>
      </c>
      <c r="B44" s="3" t="n">
        <v>161.8</v>
      </c>
      <c r="C44" s="3" t="n">
        <v>162</v>
      </c>
      <c r="D44" s="4">
        <f>IF(OR(B44="",B32=""),NA(),(B44/B32-1)*100)</f>
        <v/>
      </c>
      <c r="E44" s="4">
        <f>IF(OR(C44="",C43=""),NA(),(C44/C43-1)*100)</f>
        <v/>
      </c>
      <c r="F44" s="4">
        <f>IF(OR(C44="",C41=""),NA(),((C44/C41)^4-1)*100)</f>
        <v/>
      </c>
    </row>
    <row r="45">
      <c r="A45" s="2" t="n">
        <v>45627</v>
      </c>
      <c r="B45" s="3" t="n">
        <v>161.2</v>
      </c>
      <c r="C45" s="3" t="n">
        <v>162.3</v>
      </c>
      <c r="D45" s="4">
        <f>IF(OR(B45="",B33=""),NA(),(B45/B33-1)*100)</f>
        <v/>
      </c>
      <c r="E45" s="4">
        <f>IF(OR(C45="",C44=""),NA(),(C45/C44-1)*100)</f>
        <v/>
      </c>
      <c r="F45" s="4">
        <f>IF(OR(C45="",C42=""),NA(),((C45/C42)^4-1)*100)</f>
        <v/>
      </c>
    </row>
    <row r="46">
      <c r="A46" s="2" t="n">
        <v>45658</v>
      </c>
      <c r="B46" s="3" t="n">
        <v>161.3</v>
      </c>
      <c r="C46" s="3" t="n">
        <v>162.5</v>
      </c>
      <c r="D46" s="4">
        <f>IF(OR(B46="",B34=""),NA(),(B46/B34-1)*100)</f>
        <v/>
      </c>
      <c r="E46" s="4">
        <f>IF(OR(C46="",C45=""),NA(),(C46/C45-1)*100)</f>
        <v/>
      </c>
      <c r="F46" s="4">
        <f>IF(OR(C46="",C43=""),NA(),((C46/C43)^4-1)*100)</f>
        <v/>
      </c>
    </row>
    <row r="47">
      <c r="A47" s="2" t="n">
        <v>45689</v>
      </c>
      <c r="B47" s="3" t="n">
        <v>163</v>
      </c>
      <c r="C47" s="3" t="n">
        <v>163.5</v>
      </c>
      <c r="D47" s="4">
        <f>IF(OR(B47="",B35=""),NA(),(B47/B35-1)*100)</f>
        <v/>
      </c>
      <c r="E47" s="4">
        <f>IF(OR(C47="",C46=""),NA(),(C47/C46-1)*100)</f>
        <v/>
      </c>
      <c r="F47" s="4">
        <f>IF(OR(C47="",C44=""),NA(),((C47/C44)^4-1)*100)</f>
        <v/>
      </c>
    </row>
    <row r="48">
      <c r="A48" s="2" t="n">
        <v>45717</v>
      </c>
      <c r="B48" s="3" t="n">
        <v>163.5</v>
      </c>
      <c r="C48" s="3" t="n">
        <v>163.5</v>
      </c>
      <c r="D48" s="4">
        <f>IF(OR(B48="",B36=""),NA(),(B48/B36-1)*100)</f>
        <v/>
      </c>
      <c r="E48" s="4">
        <f>IF(OR(C48="",C47=""),NA(),(C48/C47-1)*100)</f>
        <v/>
      </c>
      <c r="F48" s="4">
        <f>IF(OR(C48="",C45=""),NA(),((C48/C45)^4-1)*100)</f>
        <v/>
      </c>
    </row>
    <row r="49">
      <c r="A49" s="2" t="n">
        <v>45748</v>
      </c>
      <c r="B49" s="3" t="n">
        <v>163.4</v>
      </c>
      <c r="C49" s="3" t="n">
        <v>163.1</v>
      </c>
      <c r="D49" s="4">
        <f>IF(OR(B49="",B37=""),NA(),(B49/B37-1)*100)</f>
        <v/>
      </c>
      <c r="E49" s="4">
        <f>IF(OR(C49="",C48=""),NA(),(C49/C48-1)*100)</f>
        <v/>
      </c>
      <c r="F49" s="4">
        <f>IF(OR(C49="",C46=""),NA(),((C49/C46)^4-1)*100)</f>
        <v/>
      </c>
    </row>
    <row r="50">
      <c r="A50" s="2" t="n">
        <v>45778</v>
      </c>
      <c r="B50" s="3" t="n">
        <v>164.3</v>
      </c>
      <c r="C50" s="3" t="n">
        <v>163.5</v>
      </c>
      <c r="D50" s="4">
        <f>IF(OR(B50="",B38=""),NA(),(B50/B38-1)*100)</f>
        <v/>
      </c>
      <c r="E50" s="4">
        <f>IF(OR(C50="",C49=""),NA(),(C50/C49-1)*100)</f>
        <v/>
      </c>
      <c r="F50" s="4">
        <f>IF(OR(C50="",C47=""),NA(),((C50/C47)^4-1)*100)</f>
        <v/>
      </c>
    </row>
    <row r="51">
      <c r="A51" s="2" t="n">
        <v>45809</v>
      </c>
      <c r="B51" s="3" t="n">
        <v>164.4</v>
      </c>
      <c r="C51" s="3" t="n">
        <v>163.9</v>
      </c>
      <c r="D51" s="4">
        <f>IF(OR(B51="",B39=""),NA(),(B51/B39-1)*100)</f>
        <v/>
      </c>
      <c r="E51" s="4">
        <f>IF(OR(C51="",C50=""),NA(),(C51/C50-1)*100)</f>
        <v/>
      </c>
      <c r="F51" s="4">
        <f>IF(OR(C51="",C48=""),NA(),((C51/C48)^4-1)*100)</f>
        <v/>
      </c>
    </row>
    <row r="52">
      <c r="A52" s="2" t="n">
        <v>45839</v>
      </c>
      <c r="B52" s="3" t="n">
        <v>164.9</v>
      </c>
      <c r="C52" s="3" t="n">
        <v>164</v>
      </c>
      <c r="D52" s="4">
        <f>IF(OR(B52="",B40=""),NA(),(B52/B40-1)*100)</f>
        <v/>
      </c>
      <c r="E52" s="4">
        <f>IF(OR(C52="",C51=""),NA(),(C52/C51-1)*100)</f>
        <v/>
      </c>
      <c r="F52" s="4">
        <f>IF(OR(C52="",C49=""),NA(),((C52/C49)^4-1)*100)</f>
        <v/>
      </c>
    </row>
    <row r="53">
      <c r="A53" s="2" t="n">
        <v>45870</v>
      </c>
      <c r="B53" s="3" t="n">
        <v>164.8</v>
      </c>
      <c r="C53" s="3" t="n">
        <v>164.3</v>
      </c>
      <c r="D53" s="4">
        <f>IF(OR(B53="",B41=""),NA(),(B53/B41-1)*100)</f>
        <v/>
      </c>
      <c r="E53" s="4">
        <f>IF(OR(C53="",C52=""),NA(),(C53/C52-1)*100)</f>
        <v/>
      </c>
      <c r="F53" s="4">
        <f>IF(OR(C53="",C50=""),NA(),((C53/C50)^4-1)*100)</f>
        <v/>
      </c>
    </row>
    <row r="54">
      <c r="A54" s="2" t="n">
        <v>45901</v>
      </c>
      <c r="B54" s="3" t="n">
        <v>164.9</v>
      </c>
      <c r="C54" s="3" t="n">
        <v>165</v>
      </c>
      <c r="D54" s="4">
        <f>IF(OR(B54="",B42=""),NA(),(B54/B42-1)*100)</f>
        <v/>
      </c>
      <c r="E54" s="4">
        <f>IF(OR(C54="",C53=""),NA(),(C54/C53-1)*100)</f>
        <v/>
      </c>
      <c r="F54" s="4">
        <f>IF(OR(C54="",C51=""),NA(),((C54/C51)^4-1)*100)</f>
        <v/>
      </c>
    </row>
    <row r="55">
      <c r="A55" s="2" t="n">
        <v>45931</v>
      </c>
      <c r="B55" s="3" t="n">
        <v>165.3</v>
      </c>
      <c r="C55" s="3" t="n">
        <v>165.2</v>
      </c>
      <c r="D55" s="4">
        <f>IF(OR(B55="",B43=""),NA(),(B55/B43-1)*100)</f>
        <v/>
      </c>
      <c r="E55" s="4">
        <f>IF(OR(C55="",C54=""),NA(),(C55/C54-1)*100)</f>
        <v/>
      </c>
      <c r="F55" s="4">
        <f>IF(OR(C55="",C52=""),NA(),((C55/C52)^4-1)*100)</f>
        <v/>
      </c>
    </row>
    <row r="56">
      <c r="A56" s="2" t="n">
        <v>45962</v>
      </c>
      <c r="B56" s="3" t="n">
        <v>165.4</v>
      </c>
      <c r="C56" s="3" t="n">
        <v>165.6</v>
      </c>
      <c r="D56" s="4">
        <f>IF(OR(B56="",B44=""),NA(),(B56/B44-1)*100)</f>
        <v/>
      </c>
      <c r="E56" s="4">
        <f>IF(OR(C56="",C55=""),NA(),(C56/C55-1)*100)</f>
        <v/>
      </c>
      <c r="F56" s="4">
        <f>IF(OR(C56="",C53=""),NA(),((C56/C53)^4-1)*100)</f>
        <v/>
      </c>
    </row>
    <row r="57">
      <c r="A57" s="2" t="n">
        <v>45992</v>
      </c>
      <c r="B57" s="3" t="n">
        <v>165</v>
      </c>
      <c r="C57" s="3" t="n">
        <v>166.1</v>
      </c>
      <c r="D57" s="4">
        <f>IF(OR(B57="",B45=""),NA(),(B57/B45-1)*100)</f>
        <v/>
      </c>
      <c r="E57" s="4">
        <f>IF(OR(C57="",C56=""),NA(),(C57/C56-1)*100)</f>
        <v/>
      </c>
      <c r="F57" s="4">
        <f>IF(OR(C57="",C54=""),NA(),((C57/C54)^4-1)*100)</f>
        <v/>
      </c>
    </row>
    <row r="58">
      <c r="A58" s="2" t="n">
        <v>46023</v>
      </c>
      <c r="B58" s="3" t="n">
        <v>165</v>
      </c>
      <c r="C58" s="3" t="n">
        <v>166.2</v>
      </c>
      <c r="D58" s="4">
        <f>IF(OR(B58="",B46=""),NA(),(B58/B46-1)*100)</f>
        <v/>
      </c>
      <c r="E58" s="4">
        <f>IF(OR(C58="",C57=""),NA(),(C58/C57-1)*100)</f>
        <v/>
      </c>
      <c r="F58" s="4">
        <f>IF(OR(C58="",C55=""),NA(),((C58/C55)^4-1)*100)</f>
        <v/>
      </c>
    </row>
    <row r="59">
      <c r="A59" s="2" t="n">
        <v>46054</v>
      </c>
      <c r="B59" s="3" t="n">
        <v>165.9</v>
      </c>
      <c r="C59" s="3" t="n">
        <v>166.5</v>
      </c>
      <c r="D59" s="4">
        <f>IF(OR(B59="",B47=""),NA(),(B59/B47-1)*100)</f>
        <v/>
      </c>
      <c r="E59" s="4">
        <f>IF(OR(C59="",C58=""),NA(),(C59/C58-1)*100)</f>
        <v/>
      </c>
      <c r="F59" s="4">
        <f>IF(OR(C59="",C56=""),NA(),((C59/C56)^4-1)*100)</f>
        <v/>
      </c>
    </row>
    <row r="60">
      <c r="A60" s="2" t="n">
        <v>46082</v>
      </c>
      <c r="B60" s="3" t="n">
        <v>167.4</v>
      </c>
      <c r="C60" s="3" t="n">
        <v>167.3</v>
      </c>
      <c r="D60" s="4">
        <f>IF(OR(B60="",B48=""),NA(),(B60/B48-1)*100)</f>
        <v/>
      </c>
      <c r="E60" s="4">
        <f>IF(OR(C60="",C59=""),NA(),(C60/C59-1)*100)</f>
        <v/>
      </c>
      <c r="F60" s="4">
        <f>IF(OR(C60="",C57=""),NA(),((C60/C57)^4-1)*100)</f>
        <v/>
      </c>
    </row>
    <row r="61">
      <c r="A61" s="2" t="n">
        <v>46113</v>
      </c>
      <c r="B61" s="3" t="n">
        <v>168</v>
      </c>
      <c r="D61" s="4">
        <f>IF(OR(B61="",B49=""),NA(),(B61/B49-1)*100)</f>
        <v/>
      </c>
      <c r="E61" s="4">
        <f>IF(OR(C61="",C60=""),NA(),(C61/C60-1)*100)</f>
        <v/>
      </c>
      <c r="F61" s="4">
        <f>IF(OR(C61="",C58=""),NA(),((C61/C58)^4-1)*100)</f>
        <v/>
      </c>
    </row>
    <row r="62">
      <c r="D62" s="4">
        <f>IF(OR(B62="",B50=""),NA(),(B62/B50-1)*100)</f>
        <v/>
      </c>
      <c r="E62" s="4">
        <f>IF(OR(C62="",C61=""),NA(),(C62/C61-1)*100)</f>
        <v/>
      </c>
      <c r="F62" s="4">
        <f>IF(OR(C62="",C59=""),NA(),((C62/C59)^4-1)*100)</f>
        <v/>
      </c>
    </row>
    <row r="63">
      <c r="D63" s="4">
        <f>IF(OR(B63="",B51=""),NA(),(B63/B51-1)*100)</f>
        <v/>
      </c>
      <c r="E63" s="4">
        <f>IF(OR(C63="",C62=""),NA(),(C63/C62-1)*100)</f>
        <v/>
      </c>
      <c r="F63" s="4">
        <f>IF(OR(C63="",C60=""),NA(),((C63/C60)^4-1)*100)</f>
        <v/>
      </c>
    </row>
    <row r="64">
      <c r="D64" s="4">
        <f>IF(OR(B64="",B52=""),NA(),(B64/B52-1)*100)</f>
        <v/>
      </c>
      <c r="E64" s="4">
        <f>IF(OR(C64="",C63=""),NA(),(C64/C63-1)*100)</f>
        <v/>
      </c>
      <c r="F64" s="4">
        <f>IF(OR(C64="",C61=""),NA(),((C64/C61)^4-1)*100)</f>
        <v/>
      </c>
    </row>
    <row r="65">
      <c r="D65" s="4">
        <f>IF(OR(B65="",B53=""),NA(),(B65/B53-1)*100)</f>
        <v/>
      </c>
      <c r="E65" s="4">
        <f>IF(OR(C65="",C64=""),NA(),(C65/C64-1)*100)</f>
        <v/>
      </c>
      <c r="F65" s="4">
        <f>IF(OR(C65="",C62=""),NA(),((C65/C62)^4-1)*100)</f>
        <v/>
      </c>
    </row>
    <row r="66">
      <c r="D66" s="4">
        <f>IF(OR(B66="",B54=""),NA(),(B66/B54-1)*100)</f>
        <v/>
      </c>
      <c r="E66" s="4">
        <f>IF(OR(C66="",C65=""),NA(),(C66/C65-1)*100)</f>
        <v/>
      </c>
      <c r="F66" s="4">
        <f>IF(OR(C66="",C63=""),NA(),((C66/C63)^4-1)*100)</f>
        <v/>
      </c>
    </row>
    <row r="67">
      <c r="D67" s="4">
        <f>IF(OR(B67="",B55=""),NA(),(B67/B55-1)*100)</f>
        <v/>
      </c>
      <c r="E67" s="4">
        <f>IF(OR(C67="",C66=""),NA(),(C67/C66-1)*100)</f>
        <v/>
      </c>
      <c r="F67" s="4">
        <f>IF(OR(C67="",C64=""),NA(),((C67/C64)^4-1)*100)</f>
        <v/>
      </c>
    </row>
    <row r="68">
      <c r="D68" s="4">
        <f>IF(OR(B68="",B56=""),NA(),(B68/B56-1)*100)</f>
        <v/>
      </c>
      <c r="E68" s="4">
        <f>IF(OR(C68="",C67=""),NA(),(C68/C67-1)*100)</f>
        <v/>
      </c>
      <c r="F68" s="4">
        <f>IF(OR(C68="",C65=""),NA(),((C68/C65)^4-1)*100)</f>
        <v/>
      </c>
    </row>
    <row r="69">
      <c r="D69" s="4">
        <f>IF(OR(B69="",B57=""),NA(),(B69/B57-1)*100)</f>
        <v/>
      </c>
      <c r="E69" s="4">
        <f>IF(OR(C69="",C68=""),NA(),(C69/C68-1)*100)</f>
        <v/>
      </c>
      <c r="F69" s="4">
        <f>IF(OR(C69="",C66=""),NA(),((C69/C66)^4-1)*100)</f>
        <v/>
      </c>
    </row>
    <row r="70">
      <c r="D70" s="4">
        <f>IF(OR(B70="",B58=""),NA(),(B70/B58-1)*100)</f>
        <v/>
      </c>
      <c r="E70" s="4">
        <f>IF(OR(C70="",C69=""),NA(),(C70/C69-1)*100)</f>
        <v/>
      </c>
      <c r="F70" s="4">
        <f>IF(OR(C70="",C67=""),NA(),((C70/C67)^4-1)*100)</f>
        <v/>
      </c>
    </row>
    <row r="71">
      <c r="D71" s="4">
        <f>IF(OR(B71="",B59=""),NA(),(B71/B59-1)*100)</f>
        <v/>
      </c>
      <c r="E71" s="4">
        <f>IF(OR(C71="",C70=""),NA(),(C71/C70-1)*100)</f>
        <v/>
      </c>
      <c r="F71" s="4">
        <f>IF(OR(C71="",C68=""),NA(),((C71/C68)^4-1)*100)</f>
        <v/>
      </c>
    </row>
    <row r="72">
      <c r="D72" s="4">
        <f>IF(OR(B72="",B60=""),NA(),(B72/B60-1)*100)</f>
        <v/>
      </c>
      <c r="E72" s="4">
        <f>IF(OR(C72="",C71=""),NA(),(C72/C71-1)*100)</f>
        <v/>
      </c>
      <c r="F72" s="4">
        <f>IF(OR(C72="",C69=""),NA(),((C72/C69)^4-1)*100)</f>
        <v/>
      </c>
    </row>
    <row r="73">
      <c r="D73" s="4">
        <f>IF(OR(B73="",B61=""),NA(),(B73/B61-1)*100)</f>
        <v/>
      </c>
      <c r="E73" s="4">
        <f>IF(OR(C73="",C72=""),NA(),(C73/C72-1)*100)</f>
        <v/>
      </c>
      <c r="F73" s="4">
        <f>IF(OR(C73="",C70=""),NA(),((C73/C70)^4-1)*100)</f>
        <v/>
      </c>
    </row>
    <row r="74">
      <c r="D74" s="4">
        <f>IF(OR(B74="",B62=""),NA(),(B74/B62-1)*100)</f>
        <v/>
      </c>
      <c r="E74" s="4">
        <f>IF(OR(C74="",C73=""),NA(),(C74/C73-1)*100)</f>
        <v/>
      </c>
      <c r="F74" s="4">
        <f>IF(OR(C74="",C71=""),NA(),((C74/C71)^4-1)*100)</f>
        <v/>
      </c>
    </row>
    <row r="75">
      <c r="D75" s="4">
        <f>IF(OR(B75="",B63=""),NA(),(B75/B63-1)*100)</f>
        <v/>
      </c>
      <c r="E75" s="4">
        <f>IF(OR(C75="",C74=""),NA(),(C75/C74-1)*100)</f>
        <v/>
      </c>
      <c r="F75" s="4">
        <f>IF(OR(C75="",C72=""),NA(),((C75/C72)^4-1)*100)</f>
        <v/>
      </c>
    </row>
    <row r="76">
      <c r="D76" s="4">
        <f>IF(OR(B76="",B64=""),NA(),(B76/B64-1)*100)</f>
        <v/>
      </c>
      <c r="E76" s="4">
        <f>IF(OR(C76="",C75=""),NA(),(C76/C75-1)*100)</f>
        <v/>
      </c>
      <c r="F76" s="4">
        <f>IF(OR(C76="",C73=""),NA(),((C76/C73)^4-1)*100)</f>
        <v/>
      </c>
    </row>
    <row r="77">
      <c r="D77" s="4">
        <f>IF(OR(B77="",B65=""),NA(),(B77/B65-1)*100)</f>
        <v/>
      </c>
      <c r="E77" s="4">
        <f>IF(OR(C77="",C76=""),NA(),(C77/C76-1)*100)</f>
        <v/>
      </c>
      <c r="F77" s="4">
        <f>IF(OR(C77="",C74=""),NA(),((C77/C74)^4-1)*100)</f>
        <v/>
      </c>
    </row>
    <row r="78">
      <c r="D78" s="4">
        <f>IF(OR(B78="",B66=""),NA(),(B78/B66-1)*100)</f>
        <v/>
      </c>
      <c r="E78" s="4">
        <f>IF(OR(C78="",C77=""),NA(),(C78/C77-1)*100)</f>
        <v/>
      </c>
      <c r="F78" s="4">
        <f>IF(OR(C78="",C75=""),NA(),((C78/C75)^4-1)*100)</f>
        <v/>
      </c>
    </row>
    <row r="79">
      <c r="D79" s="4">
        <f>IF(OR(B79="",B67=""),NA(),(B79/B67-1)*100)</f>
        <v/>
      </c>
      <c r="E79" s="4">
        <f>IF(OR(C79="",C78=""),NA(),(C79/C78-1)*100)</f>
        <v/>
      </c>
      <c r="F79" s="4">
        <f>IF(OR(C79="",C76=""),NA(),((C79/C76)^4-1)*100)</f>
        <v/>
      </c>
    </row>
    <row r="80">
      <c r="D80" s="4">
        <f>IF(OR(B80="",B68=""),NA(),(B80/B68-1)*100)</f>
        <v/>
      </c>
      <c r="E80" s="4">
        <f>IF(OR(C80="",C79=""),NA(),(C80/C79-1)*100)</f>
        <v/>
      </c>
      <c r="F80" s="4">
        <f>IF(OR(C80="",C77=""),NA(),((C80/C77)^4-1)*100)</f>
        <v/>
      </c>
    </row>
    <row r="81">
      <c r="D81" s="4">
        <f>IF(OR(B81="",B69=""),NA(),(B81/B69-1)*100)</f>
        <v/>
      </c>
      <c r="E81" s="4">
        <f>IF(OR(C81="",C80=""),NA(),(C81/C80-1)*100)</f>
        <v/>
      </c>
      <c r="F81" s="4">
        <f>IF(OR(C81="",C78=""),NA(),((C81/C78)^4-1)*100)</f>
        <v/>
      </c>
    </row>
    <row r="82">
      <c r="D82" s="4">
        <f>IF(OR(B82="",B70=""),NA(),(B82/B70-1)*100)</f>
        <v/>
      </c>
      <c r="E82" s="4">
        <f>IF(OR(C82="",C81=""),NA(),(C82/C81-1)*100)</f>
        <v/>
      </c>
      <c r="F82" s="4">
        <f>IF(OR(C82="",C79=""),NA(),((C82/C79)^4-1)*100)</f>
        <v/>
      </c>
    </row>
    <row r="83">
      <c r="D83" s="4">
        <f>IF(OR(B83="",B71=""),NA(),(B83/B71-1)*100)</f>
        <v/>
      </c>
      <c r="E83" s="4">
        <f>IF(OR(C83="",C82=""),NA(),(C83/C82-1)*100)</f>
        <v/>
      </c>
      <c r="F83" s="4">
        <f>IF(OR(C83="",C80=""),NA(),((C83/C80)^4-1)*100)</f>
        <v/>
      </c>
    </row>
    <row r="84">
      <c r="D84" s="4">
        <f>IF(OR(B84="",B72=""),NA(),(B84/B72-1)*100)</f>
        <v/>
      </c>
      <c r="E84" s="4">
        <f>IF(OR(C84="",C83=""),NA(),(C84/C83-1)*100)</f>
        <v/>
      </c>
      <c r="F84" s="4">
        <f>IF(OR(C84="",C81=""),NA(),((C84/C81)^4-1)*100)</f>
        <v/>
      </c>
    </row>
    <row r="85">
      <c r="D85" s="4">
        <f>IF(OR(B85="",B73=""),NA(),(B85/B73-1)*100)</f>
        <v/>
      </c>
      <c r="E85" s="4">
        <f>IF(OR(C85="",C84=""),NA(),(C85/C84-1)*100)</f>
        <v/>
      </c>
      <c r="F85" s="4">
        <f>IF(OR(C85="",C82=""),NA(),((C85/C82)^4-1)*100)</f>
        <v/>
      </c>
    </row>
    <row r="86">
      <c r="D86" s="4">
        <f>IF(OR(B86="",B74=""),NA(),(B86/B74-1)*100)</f>
        <v/>
      </c>
      <c r="E86" s="4">
        <f>IF(OR(C86="",C85=""),NA(),(C86/C85-1)*100)</f>
        <v/>
      </c>
      <c r="F86" s="4">
        <f>IF(OR(C86="",C83=""),NA(),((C86/C83)^4-1)*100)</f>
        <v/>
      </c>
    </row>
    <row r="87">
      <c r="D87" s="4">
        <f>IF(OR(B87="",B75=""),NA(),(B87/B75-1)*100)</f>
        <v/>
      </c>
      <c r="E87" s="4">
        <f>IF(OR(C87="",C86=""),NA(),(C87/C86-1)*100)</f>
        <v/>
      </c>
      <c r="F87" s="4">
        <f>IF(OR(C87="",C84=""),NA(),((C87/C84)^4-1)*100)</f>
        <v/>
      </c>
    </row>
    <row r="88">
      <c r="D88" s="4">
        <f>IF(OR(B88="",B76=""),NA(),(B88/B76-1)*100)</f>
        <v/>
      </c>
      <c r="E88" s="4">
        <f>IF(OR(C88="",C87=""),NA(),(C88/C87-1)*100)</f>
        <v/>
      </c>
      <c r="F88" s="4">
        <f>IF(OR(C88="",C85=""),NA(),((C88/C85)^4-1)*100)</f>
        <v/>
      </c>
    </row>
    <row r="89">
      <c r="D89" s="4">
        <f>IF(OR(B89="",B77=""),NA(),(B89/B77-1)*100)</f>
        <v/>
      </c>
      <c r="E89" s="4">
        <f>IF(OR(C89="",C88=""),NA(),(C89/C88-1)*100)</f>
        <v/>
      </c>
      <c r="F89" s="4">
        <f>IF(OR(C89="",C86=""),NA(),((C89/C86)^4-1)*100)</f>
        <v/>
      </c>
    </row>
    <row r="90">
      <c r="D90" s="4">
        <f>IF(OR(B90="",B78=""),NA(),(B90/B78-1)*100)</f>
        <v/>
      </c>
      <c r="E90" s="4">
        <f>IF(OR(C90="",C89=""),NA(),(C90/C89-1)*100)</f>
        <v/>
      </c>
      <c r="F90" s="4">
        <f>IF(OR(C90="",C87=""),NA(),((C90/C87)^4-1)*100)</f>
        <v/>
      </c>
    </row>
    <row r="91">
      <c r="D91" s="4">
        <f>IF(OR(B91="",B79=""),NA(),(B91/B79-1)*100)</f>
        <v/>
      </c>
      <c r="E91" s="4">
        <f>IF(OR(C91="",C90=""),NA(),(C91/C90-1)*100)</f>
        <v/>
      </c>
      <c r="F91" s="4">
        <f>IF(OR(C91="",C88=""),NA(),((C91/C88)^4-1)*100)</f>
        <v/>
      </c>
    </row>
    <row r="92">
      <c r="D92" s="4">
        <f>IF(OR(B92="",B80=""),NA(),(B92/B80-1)*100)</f>
        <v/>
      </c>
      <c r="E92" s="4">
        <f>IF(OR(C92="",C91=""),NA(),(C92/C91-1)*100)</f>
        <v/>
      </c>
      <c r="F92" s="4">
        <f>IF(OR(C92="",C89=""),NA(),((C92/C89)^4-1)*100)</f>
        <v/>
      </c>
    </row>
    <row r="93">
      <c r="D93" s="4">
        <f>IF(OR(B93="",B81=""),NA(),(B93/B81-1)*100)</f>
        <v/>
      </c>
      <c r="E93" s="4">
        <f>IF(OR(C93="",C92=""),NA(),(C93/C92-1)*100)</f>
        <v/>
      </c>
      <c r="F93" s="4">
        <f>IF(OR(C93="",C90=""),NA(),((C93/C90)^4-1)*100)</f>
        <v/>
      </c>
    </row>
    <row r="94">
      <c r="D94" s="4">
        <f>IF(OR(B94="",B82=""),NA(),(B94/B82-1)*100)</f>
        <v/>
      </c>
      <c r="E94" s="4">
        <f>IF(OR(C94="",C93=""),NA(),(C94/C93-1)*100)</f>
        <v/>
      </c>
      <c r="F94" s="4">
        <f>IF(OR(C94="",C91=""),NA(),((C94/C91)^4-1)*100)</f>
        <v/>
      </c>
    </row>
    <row r="95">
      <c r="D95" s="4">
        <f>IF(OR(B95="",B83=""),NA(),(B95/B83-1)*100)</f>
        <v/>
      </c>
      <c r="E95" s="4">
        <f>IF(OR(C95="",C94=""),NA(),(C95/C94-1)*100)</f>
        <v/>
      </c>
      <c r="F95" s="4">
        <f>IF(OR(C95="",C92=""),NA(),((C95/C92)^4-1)*100)</f>
        <v/>
      </c>
    </row>
    <row r="96">
      <c r="D96" s="4">
        <f>IF(OR(B96="",B84=""),NA(),(B96/B84-1)*100)</f>
        <v/>
      </c>
      <c r="E96" s="4">
        <f>IF(OR(C96="",C95=""),NA(),(C96/C95-1)*100)</f>
        <v/>
      </c>
      <c r="F96" s="4">
        <f>IF(OR(C96="",C93=""),NA(),((C96/C93)^4-1)*100)</f>
        <v/>
      </c>
    </row>
    <row r="97">
      <c r="D97" s="4">
        <f>IF(OR(B97="",B85=""),NA(),(B97/B85-1)*100)</f>
        <v/>
      </c>
      <c r="E97" s="4">
        <f>IF(OR(C97="",C96=""),NA(),(C97/C96-1)*100)</f>
        <v/>
      </c>
      <c r="F97" s="4">
        <f>IF(OR(C97="",C94=""),NA(),((C97/C94)^4-1)*100)</f>
        <v/>
      </c>
    </row>
    <row r="98">
      <c r="D98" s="4">
        <f>IF(OR(B98="",B86=""),NA(),(B98/B86-1)*100)</f>
        <v/>
      </c>
      <c r="E98" s="4">
        <f>IF(OR(C98="",C97=""),NA(),(C98/C97-1)*100)</f>
        <v/>
      </c>
      <c r="F98" s="4">
        <f>IF(OR(C98="",C95=""),NA(),((C98/C95)^4-1)*100)</f>
        <v/>
      </c>
    </row>
    <row r="99">
      <c r="D99" s="4">
        <f>IF(OR(B99="",B87=""),NA(),(B99/B87-1)*100)</f>
        <v/>
      </c>
      <c r="E99" s="4">
        <f>IF(OR(C99="",C98=""),NA(),(C99/C98-1)*100)</f>
        <v/>
      </c>
      <c r="F99" s="4">
        <f>IF(OR(C99="",C96=""),NA(),((C99/C96)^4-1)*100)</f>
        <v/>
      </c>
    </row>
    <row r="100">
      <c r="D100" s="4">
        <f>IF(OR(B100="",B88=""),NA(),(B100/B88-1)*100)</f>
        <v/>
      </c>
      <c r="E100" s="4">
        <f>IF(OR(C100="",C99=""),NA(),(C100/C99-1)*100)</f>
        <v/>
      </c>
      <c r="F100" s="4">
        <f>IF(OR(C100="",C97=""),NA(),((C100/C97)^4-1)*100)</f>
        <v/>
      </c>
    </row>
    <row r="101">
      <c r="D101" s="4">
        <f>IF(OR(B101="",B89=""),NA(),(B101/B89-1)*100)</f>
        <v/>
      </c>
      <c r="E101" s="4">
        <f>IF(OR(C101="",C100=""),NA(),(C101/C100-1)*100)</f>
        <v/>
      </c>
      <c r="F101" s="4">
        <f>IF(OR(C101="",C98=""),NA(),((C101/C98)^4-1)*100)</f>
        <v/>
      </c>
    </row>
    <row r="102">
      <c r="D102" s="4">
        <f>IF(OR(B102="",B90=""),NA(),(B102/B90-1)*100)</f>
        <v/>
      </c>
      <c r="E102" s="4">
        <f>IF(OR(C102="",C101=""),NA(),(C102/C101-1)*100)</f>
        <v/>
      </c>
      <c r="F102" s="4">
        <f>IF(OR(C102="",C99=""),NA(),((C102/C99)^4-1)*100)</f>
        <v/>
      </c>
    </row>
    <row r="103">
      <c r="D103" s="4">
        <f>IF(OR(B103="",B91=""),NA(),(B103/B91-1)*100)</f>
        <v/>
      </c>
      <c r="E103" s="4">
        <f>IF(OR(C103="",C102=""),NA(),(C103/C102-1)*100)</f>
        <v/>
      </c>
      <c r="F103" s="4">
        <f>IF(OR(C103="",C100=""),NA(),((C103/C100)^4-1)*100)</f>
        <v/>
      </c>
    </row>
    <row r="104">
      <c r="D104" s="4">
        <f>IF(OR(B104="",B92=""),NA(),(B104/B92-1)*100)</f>
        <v/>
      </c>
      <c r="E104" s="4">
        <f>IF(OR(C104="",C103=""),NA(),(C104/C103-1)*100)</f>
        <v/>
      </c>
      <c r="F104" s="4">
        <f>IF(OR(C104="",C101=""),NA(),((C104/C101)^4-1)*100)</f>
        <v/>
      </c>
    </row>
    <row r="105">
      <c r="D105" s="4">
        <f>IF(OR(B105="",B93=""),NA(),(B105/B93-1)*100)</f>
        <v/>
      </c>
      <c r="E105" s="4">
        <f>IF(OR(C105="",C104=""),NA(),(C105/C104-1)*100)</f>
        <v/>
      </c>
      <c r="F105" s="4">
        <f>IF(OR(C105="",C102=""),NA(),((C105/C102)^4-1)*100)</f>
        <v/>
      </c>
    </row>
    <row r="106">
      <c r="D106" s="4">
        <f>IF(OR(B106="",B94=""),NA(),(B106/B94-1)*100)</f>
        <v/>
      </c>
      <c r="E106" s="4">
        <f>IF(OR(C106="",C105=""),NA(),(C106/C105-1)*100)</f>
        <v/>
      </c>
      <c r="F106" s="4">
        <f>IF(OR(C106="",C103=""),NA(),((C106/C103)^4-1)*100)</f>
        <v/>
      </c>
    </row>
    <row r="107">
      <c r="D107" s="4">
        <f>IF(OR(B107="",B95=""),NA(),(B107/B95-1)*100)</f>
        <v/>
      </c>
      <c r="E107" s="4">
        <f>IF(OR(C107="",C106=""),NA(),(C107/C106-1)*100)</f>
        <v/>
      </c>
      <c r="F107" s="4">
        <f>IF(OR(C107="",C104=""),NA(),((C107/C104)^4-1)*100)</f>
        <v/>
      </c>
    </row>
    <row r="108">
      <c r="D108" s="4">
        <f>IF(OR(B108="",B96=""),NA(),(B108/B96-1)*100)</f>
        <v/>
      </c>
      <c r="E108" s="4">
        <f>IF(OR(C108="",C107=""),NA(),(C108/C107-1)*100)</f>
        <v/>
      </c>
      <c r="F108" s="4">
        <f>IF(OR(C108="",C105=""),NA(),((C108/C105)^4-1)*100)</f>
        <v/>
      </c>
    </row>
    <row r="109">
      <c r="D109" s="4">
        <f>IF(OR(B109="",B97=""),NA(),(B109/B97-1)*100)</f>
        <v/>
      </c>
      <c r="E109" s="4">
        <f>IF(OR(C109="",C108=""),NA(),(C109/C108-1)*100)</f>
        <v/>
      </c>
      <c r="F109" s="4">
        <f>IF(OR(C109="",C106=""),NA(),((C109/C106)^4-1)*100)</f>
        <v/>
      </c>
    </row>
    <row r="110">
      <c r="D110" s="4">
        <f>IF(OR(B110="",B98=""),NA(),(B110/B98-1)*100)</f>
        <v/>
      </c>
      <c r="E110" s="4">
        <f>IF(OR(C110="",C109=""),NA(),(C110/C109-1)*100)</f>
        <v/>
      </c>
      <c r="F110" s="4">
        <f>IF(OR(C110="",C107=""),NA(),((C110/C107)^4-1)*100)</f>
        <v/>
      </c>
    </row>
    <row r="111">
      <c r="D111" s="4">
        <f>IF(OR(B111="",B99=""),NA(),(B111/B99-1)*100)</f>
        <v/>
      </c>
      <c r="E111" s="4">
        <f>IF(OR(C111="",C110=""),NA(),(C111/C110-1)*100)</f>
        <v/>
      </c>
      <c r="F111" s="4">
        <f>IF(OR(C111="",C108=""),NA(),((C111/C108)^4-1)*100)</f>
        <v/>
      </c>
    </row>
    <row r="112">
      <c r="D112" s="4">
        <f>IF(OR(B112="",B100=""),NA(),(B112/B100-1)*100)</f>
        <v/>
      </c>
      <c r="E112" s="4">
        <f>IF(OR(C112="",C111=""),NA(),(C112/C111-1)*100)</f>
        <v/>
      </c>
      <c r="F112" s="4">
        <f>IF(OR(C112="",C109=""),NA(),((C112/C109)^4-1)*100)</f>
        <v/>
      </c>
    </row>
    <row r="113">
      <c r="D113" s="4">
        <f>IF(OR(B113="",B101=""),NA(),(B113/B101-1)*100)</f>
        <v/>
      </c>
      <c r="E113" s="4">
        <f>IF(OR(C113="",C112=""),NA(),(C113/C112-1)*100)</f>
        <v/>
      </c>
      <c r="F113" s="4">
        <f>IF(OR(C113="",C110=""),NA(),((C113/C110)^4-1)*100)</f>
        <v/>
      </c>
    </row>
    <row r="114">
      <c r="D114" s="4">
        <f>IF(OR(B114="",B102=""),NA(),(B114/B102-1)*100)</f>
        <v/>
      </c>
      <c r="E114" s="4">
        <f>IF(OR(C114="",C113=""),NA(),(C114/C113-1)*100)</f>
        <v/>
      </c>
      <c r="F114" s="4">
        <f>IF(OR(C114="",C111=""),NA(),((C114/C111)^4-1)*100)</f>
        <v/>
      </c>
    </row>
    <row r="115">
      <c r="D115" s="4">
        <f>IF(OR(B115="",B103=""),NA(),(B115/B103-1)*100)</f>
        <v/>
      </c>
      <c r="E115" s="4">
        <f>IF(OR(C115="",C114=""),NA(),(C115/C114-1)*100)</f>
        <v/>
      </c>
      <c r="F115" s="4">
        <f>IF(OR(C115="",C112=""),NA(),((C115/C112)^4-1)*100)</f>
        <v/>
      </c>
    </row>
    <row r="116">
      <c r="D116" s="4">
        <f>IF(OR(B116="",B104=""),NA(),(B116/B104-1)*100)</f>
        <v/>
      </c>
      <c r="E116" s="4">
        <f>IF(OR(C116="",C115=""),NA(),(C116/C115-1)*100)</f>
        <v/>
      </c>
      <c r="F116" s="4">
        <f>IF(OR(C116="",C113=""),NA(),((C116/C113)^4-1)*100)</f>
        <v/>
      </c>
    </row>
    <row r="117">
      <c r="D117" s="4">
        <f>IF(OR(B117="",B105=""),NA(),(B117/B105-1)*100)</f>
        <v/>
      </c>
      <c r="E117" s="4">
        <f>IF(OR(C117="",C116=""),NA(),(C117/C116-1)*100)</f>
        <v/>
      </c>
      <c r="F117" s="4">
        <f>IF(OR(C117="",C114=""),NA(),((C117/C114)^4-1)*100)</f>
        <v/>
      </c>
    </row>
    <row r="118">
      <c r="D118" s="4">
        <f>IF(OR(B118="",B106=""),NA(),(B118/B106-1)*100)</f>
        <v/>
      </c>
      <c r="E118" s="4">
        <f>IF(OR(C118="",C117=""),NA(),(C118/C117-1)*100)</f>
        <v/>
      </c>
      <c r="F118" s="4">
        <f>IF(OR(C118="",C115=""),NA(),((C118/C115)^4-1)*100)</f>
        <v/>
      </c>
    </row>
    <row r="119">
      <c r="D119" s="4">
        <f>IF(OR(B119="",B107=""),NA(),(B119/B107-1)*100)</f>
        <v/>
      </c>
      <c r="E119" s="4">
        <f>IF(OR(C119="",C118=""),NA(),(C119/C118-1)*100)</f>
        <v/>
      </c>
      <c r="F119" s="4">
        <f>IF(OR(C119="",C116=""),NA(),((C119/C116)^4-1)*100)</f>
        <v/>
      </c>
    </row>
    <row r="120">
      <c r="D120" s="4">
        <f>IF(OR(B120="",B108=""),NA(),(B120/B108-1)*100)</f>
        <v/>
      </c>
      <c r="E120" s="4">
        <f>IF(OR(C120="",C119=""),NA(),(C120/C119-1)*100)</f>
        <v/>
      </c>
      <c r="F120" s="4">
        <f>IF(OR(C120="",C117=""),NA(),((C120/C117)^4-1)*100)</f>
        <v/>
      </c>
    </row>
    <row r="121">
      <c r="D121" s="4">
        <f>IF(OR(B121="",B109=""),NA(),(B121/B109-1)*100)</f>
        <v/>
      </c>
      <c r="E121" s="4">
        <f>IF(OR(C121="",C120=""),NA(),(C121/C120-1)*100)</f>
        <v/>
      </c>
      <c r="F121" s="4">
        <f>IF(OR(C121="",C118=""),NA(),((C121/C118)^4-1)*100)</f>
        <v/>
      </c>
    </row>
    <row r="124">
      <c r="A124" s="5" t="inlineStr">
        <is>
          <t>Source — NSA level: StatCan Table 18-10-0004-01 (vector 41690973).</t>
        </is>
      </c>
    </row>
    <row r="125">
      <c r="A125" s="5" t="inlineStr">
        <is>
          <t>Source — SA level:  StatCan Table 18-10-0006-01 (vector 41690914).</t>
        </is>
      </c>
    </row>
    <row r="126">
      <c r="A126" s="5" t="inlineStr">
        <is>
          <t>Why two series: Y/Y is computed from NSA so it matches the headline StatCan publishes; m/m and 3M AR are computed from SA so they aren't contaminated by seasonality.</t>
        </is>
      </c>
    </row>
    <row r="127">
      <c r="A127" s="5" t="inlineStr">
        <is>
          <t>Update monthly: paste new Date in column A, new NSA level in B, new SA level in C. Columns D-F auto-compute. Charts read the trailing 24 / 36 months from the seeded block (rows 2-61); to roll the window forward after extending, right-click each chart -&gt; Select Data -&gt; drag source.</t>
        </is>
      </c>
    </row>
    <row r="128">
      <c r="A128" s="5" t="inlineStr">
        <is>
          <t>Group the two charts (Ctrl-click both -&gt; Format -&gt; Group -&gt; Group), then right-click -&gt; Copy. Paste-special into Word as PNG.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2026-05-19T14:44:44Z</dcterms:created>
  <dcterms:modified xmlns:dcterms="http://purl.org/dc/terms/" xmlns:xsi="http://www.w3.org/2001/XMLSchema-instance" xsi:type="dcterms:W3CDTF">2026-05-19T14:44:44Z</dcterms:modified>
</cp:coreProperties>
</file>